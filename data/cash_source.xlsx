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0f3f4075e52659/Área de Trabalho/"/>
    </mc:Choice>
  </mc:AlternateContent>
  <xr:revisionPtr revIDLastSave="183" documentId="8_{54F4388E-CFD1-4577-9382-5F798C489863}" xr6:coauthVersionLast="47" xr6:coauthVersionMax="47" xr10:uidLastSave="{BD47EE1E-B959-4720-A67E-6F70D8AFC0B5}"/>
  <bookViews>
    <workbookView xWindow="38280" yWindow="-120" windowWidth="29040" windowHeight="15720" xr2:uid="{B6CF5B7B-428C-44F2-8CC5-B1278D229072}"/>
  </bookViews>
  <sheets>
    <sheet name="Flux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1" l="1"/>
  <c r="F252" i="1"/>
  <c r="F153" i="1"/>
  <c r="E184" i="1"/>
  <c r="L5" i="1"/>
  <c r="K153" i="1" l="1"/>
  <c r="BK153" i="1" s="1"/>
  <c r="BK15" i="1"/>
  <c r="W17" i="1"/>
  <c r="D257" i="1"/>
  <c r="E257" i="1"/>
  <c r="BK28" i="1"/>
  <c r="C262" i="1"/>
  <c r="BK246" i="1"/>
  <c r="BK245" i="1"/>
  <c r="BK244" i="1"/>
  <c r="BK243" i="1"/>
  <c r="BK242" i="1"/>
  <c r="BK241" i="1"/>
  <c r="BK240" i="1"/>
  <c r="BK239" i="1"/>
  <c r="BK238" i="1"/>
  <c r="BK237" i="1"/>
  <c r="BK236" i="1"/>
  <c r="BK235" i="1"/>
  <c r="BK234" i="1"/>
  <c r="BK233" i="1"/>
  <c r="BK232" i="1"/>
  <c r="BK231" i="1"/>
  <c r="BK230" i="1"/>
  <c r="BK229" i="1"/>
  <c r="BK228" i="1"/>
  <c r="BK227" i="1"/>
  <c r="BK226" i="1"/>
  <c r="BK225" i="1"/>
  <c r="BK224" i="1"/>
  <c r="BK223" i="1"/>
  <c r="BK222" i="1"/>
  <c r="BK221" i="1"/>
  <c r="BK220" i="1"/>
  <c r="BK219" i="1"/>
  <c r="BK218" i="1"/>
  <c r="BK217" i="1"/>
  <c r="BK216" i="1"/>
  <c r="BK215" i="1"/>
  <c r="BK214" i="1"/>
  <c r="BK213" i="1"/>
  <c r="BK212" i="1"/>
  <c r="BK211" i="1"/>
  <c r="BK210" i="1"/>
  <c r="BK209" i="1"/>
  <c r="BK208" i="1"/>
  <c r="BK207" i="1"/>
  <c r="BK206" i="1"/>
  <c r="BK205" i="1"/>
  <c r="BK204" i="1"/>
  <c r="BK203" i="1"/>
  <c r="BK202" i="1"/>
  <c r="BK201" i="1"/>
  <c r="BK200" i="1"/>
  <c r="BK199" i="1"/>
  <c r="BK198" i="1"/>
  <c r="BK197" i="1"/>
  <c r="BK196" i="1"/>
  <c r="BK195" i="1"/>
  <c r="BK194" i="1"/>
  <c r="BK193" i="1"/>
  <c r="BK192" i="1"/>
  <c r="BK191" i="1"/>
  <c r="BK190" i="1"/>
  <c r="BK189" i="1"/>
  <c r="BK188" i="1"/>
  <c r="BK187" i="1"/>
  <c r="BK186" i="1"/>
  <c r="BK185" i="1"/>
  <c r="BK184" i="1"/>
  <c r="BK183" i="1"/>
  <c r="BK182" i="1"/>
  <c r="BK181" i="1"/>
  <c r="BK180" i="1"/>
  <c r="BK179" i="1"/>
  <c r="BK178" i="1"/>
  <c r="BK177" i="1"/>
  <c r="BK176" i="1"/>
  <c r="BK175" i="1"/>
  <c r="BK174" i="1"/>
  <c r="BK173" i="1"/>
  <c r="BK172" i="1"/>
  <c r="BK171" i="1"/>
  <c r="BK170" i="1"/>
  <c r="BK169" i="1"/>
  <c r="BK168" i="1"/>
  <c r="BK167" i="1"/>
  <c r="BK166" i="1"/>
  <c r="BK165" i="1"/>
  <c r="BK164" i="1"/>
  <c r="BK163" i="1"/>
  <c r="BK162" i="1"/>
  <c r="BK161" i="1"/>
  <c r="BK160" i="1"/>
  <c r="BK159" i="1"/>
  <c r="BK158" i="1"/>
  <c r="BK157" i="1"/>
  <c r="BK156" i="1"/>
  <c r="BK155" i="1"/>
  <c r="BK154" i="1"/>
  <c r="BK152" i="1"/>
  <c r="C25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K148" i="1"/>
  <c r="BK147" i="1"/>
  <c r="BK146" i="1"/>
  <c r="BK145" i="1"/>
  <c r="BK144" i="1"/>
  <c r="BK143" i="1"/>
  <c r="BK142" i="1"/>
  <c r="BK141" i="1"/>
  <c r="BK140" i="1"/>
  <c r="BK139" i="1"/>
  <c r="BK138" i="1"/>
  <c r="BK137" i="1"/>
  <c r="BK136" i="1"/>
  <c r="BK135" i="1"/>
  <c r="BK134" i="1"/>
  <c r="BK133" i="1"/>
  <c r="BK132" i="1"/>
  <c r="BK131" i="1"/>
  <c r="BK130" i="1"/>
  <c r="BK129" i="1"/>
  <c r="BK128" i="1"/>
  <c r="BK127" i="1"/>
  <c r="BK126" i="1"/>
  <c r="BK125" i="1"/>
  <c r="BK124" i="1"/>
  <c r="BK123" i="1"/>
  <c r="BK122" i="1"/>
  <c r="BK121" i="1"/>
  <c r="BK120" i="1"/>
  <c r="BK119" i="1"/>
  <c r="BK118" i="1"/>
  <c r="BK117" i="1"/>
  <c r="BK29" i="1"/>
  <c r="BK116" i="1"/>
  <c r="BK115" i="1"/>
  <c r="BK114" i="1"/>
  <c r="BK113" i="1"/>
  <c r="BK112" i="1"/>
  <c r="BK111" i="1"/>
  <c r="BK110" i="1"/>
  <c r="BK109" i="1"/>
  <c r="BK108" i="1"/>
  <c r="BK107" i="1"/>
  <c r="BK106" i="1"/>
  <c r="BK105" i="1"/>
  <c r="BK104" i="1"/>
  <c r="BK103" i="1"/>
  <c r="BK102" i="1"/>
  <c r="BK101" i="1"/>
  <c r="BK100" i="1"/>
  <c r="BK99" i="1"/>
  <c r="BK98" i="1"/>
  <c r="BK97" i="1"/>
  <c r="BK96" i="1"/>
  <c r="BK95" i="1"/>
  <c r="BK94" i="1"/>
  <c r="BK93" i="1"/>
  <c r="BK92" i="1"/>
  <c r="BK91" i="1"/>
  <c r="BK90" i="1"/>
  <c r="BK30" i="1"/>
  <c r="BK89" i="1"/>
  <c r="BK88" i="1"/>
  <c r="BK87" i="1"/>
  <c r="BK86" i="1"/>
  <c r="BK85" i="1"/>
  <c r="BK84" i="1"/>
  <c r="BK83" i="1"/>
  <c r="BK82" i="1"/>
  <c r="BK81" i="1"/>
  <c r="BK80" i="1"/>
  <c r="BK79" i="1"/>
  <c r="BK78" i="1"/>
  <c r="BK77" i="1"/>
  <c r="BK76" i="1"/>
  <c r="BK75" i="1"/>
  <c r="BK74" i="1"/>
  <c r="BK73" i="1"/>
  <c r="BK72" i="1"/>
  <c r="BK71" i="1"/>
  <c r="BK70" i="1"/>
  <c r="BK69" i="1"/>
  <c r="BK68" i="1"/>
  <c r="BK67" i="1"/>
  <c r="BK27" i="1"/>
  <c r="BK66" i="1"/>
  <c r="BK65" i="1"/>
  <c r="BK64" i="1"/>
  <c r="BK63" i="1"/>
  <c r="BK62" i="1"/>
  <c r="BK61" i="1"/>
  <c r="BK60" i="1"/>
  <c r="BK59" i="1"/>
  <c r="BK58" i="1"/>
  <c r="BK57" i="1"/>
  <c r="BK56" i="1"/>
  <c r="BK55" i="1"/>
  <c r="BK54" i="1"/>
  <c r="BK53" i="1"/>
  <c r="BK26" i="1"/>
  <c r="BK52" i="1"/>
  <c r="BK51" i="1"/>
  <c r="BK50" i="1"/>
  <c r="BK49" i="1"/>
  <c r="BK48" i="1"/>
  <c r="BK47" i="1"/>
  <c r="BK46" i="1"/>
  <c r="BK45" i="1"/>
  <c r="BK44" i="1"/>
  <c r="BK43" i="1"/>
  <c r="BK25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24" i="1"/>
  <c r="BK23" i="1"/>
  <c r="BK22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K13" i="1"/>
  <c r="BK16" i="1"/>
  <c r="BK14" i="1"/>
  <c r="BK12" i="1"/>
  <c r="BK11" i="1"/>
  <c r="BK10" i="1"/>
  <c r="BK8" i="1"/>
  <c r="BK7" i="1"/>
  <c r="BK6" i="1"/>
  <c r="BK5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K9" i="1" l="1"/>
  <c r="K248" i="1"/>
  <c r="K250" i="1" s="1"/>
  <c r="AQ248" i="1"/>
  <c r="AQ250" i="1" s="1"/>
  <c r="C248" i="1"/>
  <c r="C250" i="1" s="1"/>
  <c r="C252" i="1" s="1"/>
  <c r="G248" i="1"/>
  <c r="G250" i="1" s="1"/>
  <c r="W248" i="1"/>
  <c r="W250" i="1" s="1"/>
  <c r="H248" i="1"/>
  <c r="H250" i="1" s="1"/>
  <c r="X248" i="1"/>
  <c r="X250" i="1" s="1"/>
  <c r="AN248" i="1"/>
  <c r="AN250" i="1" s="1"/>
  <c r="BD248" i="1"/>
  <c r="BD250" i="1" s="1"/>
  <c r="E248" i="1"/>
  <c r="F248" i="1"/>
  <c r="V248" i="1"/>
  <c r="V250" i="1" s="1"/>
  <c r="AL248" i="1"/>
  <c r="AL250" i="1" s="1"/>
  <c r="BB248" i="1"/>
  <c r="BB250" i="1" s="1"/>
  <c r="AK248" i="1"/>
  <c r="AK250" i="1" s="1"/>
  <c r="AM248" i="1"/>
  <c r="AM250" i="1" s="1"/>
  <c r="BC248" i="1"/>
  <c r="BC250" i="1" s="1"/>
  <c r="P248" i="1"/>
  <c r="P250" i="1" s="1"/>
  <c r="U248" i="1"/>
  <c r="U250" i="1" s="1"/>
  <c r="BA248" i="1"/>
  <c r="BA250" i="1" s="1"/>
  <c r="BK247" i="1"/>
  <c r="D248" i="1"/>
  <c r="D250" i="1" s="1"/>
  <c r="T248" i="1"/>
  <c r="T250" i="1" s="1"/>
  <c r="AJ248" i="1"/>
  <c r="AJ250" i="1" s="1"/>
  <c r="AZ248" i="1"/>
  <c r="AZ250" i="1" s="1"/>
  <c r="AV248" i="1"/>
  <c r="AV250" i="1" s="1"/>
  <c r="AF248" i="1"/>
  <c r="AF250" i="1" s="1"/>
  <c r="E250" i="1"/>
  <c r="AA248" i="1"/>
  <c r="AA250" i="1" s="1"/>
  <c r="BG248" i="1"/>
  <c r="BG250" i="1" s="1"/>
  <c r="I248" i="1"/>
  <c r="I250" i="1" s="1"/>
  <c r="Y248" i="1"/>
  <c r="Y250" i="1" s="1"/>
  <c r="AO248" i="1"/>
  <c r="AO250" i="1" s="1"/>
  <c r="BE248" i="1"/>
  <c r="BE250" i="1" s="1"/>
  <c r="AT248" i="1"/>
  <c r="AT250" i="1" s="1"/>
  <c r="L248" i="1"/>
  <c r="L250" i="1" s="1"/>
  <c r="AB248" i="1"/>
  <c r="AB250" i="1" s="1"/>
  <c r="AR248" i="1"/>
  <c r="AR250" i="1" s="1"/>
  <c r="BH248" i="1"/>
  <c r="BH250" i="1" s="1"/>
  <c r="M248" i="1"/>
  <c r="M250" i="1" s="1"/>
  <c r="AC248" i="1"/>
  <c r="AC250" i="1" s="1"/>
  <c r="AS248" i="1"/>
  <c r="AS250" i="1" s="1"/>
  <c r="BI248" i="1"/>
  <c r="BI250" i="1" s="1"/>
  <c r="N248" i="1"/>
  <c r="N250" i="1" s="1"/>
  <c r="AD248" i="1"/>
  <c r="AD250" i="1" s="1"/>
  <c r="BJ248" i="1"/>
  <c r="O248" i="1"/>
  <c r="O250" i="1" s="1"/>
  <c r="AE248" i="1"/>
  <c r="AE250" i="1" s="1"/>
  <c r="AU248" i="1"/>
  <c r="AU250" i="1" s="1"/>
  <c r="Q248" i="1"/>
  <c r="Q250" i="1" s="1"/>
  <c r="AG248" i="1"/>
  <c r="AG250" i="1" s="1"/>
  <c r="AW248" i="1"/>
  <c r="AW250" i="1" s="1"/>
  <c r="R248" i="1"/>
  <c r="R250" i="1" s="1"/>
  <c r="AH248" i="1"/>
  <c r="AH250" i="1" s="1"/>
  <c r="AX248" i="1"/>
  <c r="AX250" i="1" s="1"/>
  <c r="S248" i="1"/>
  <c r="S250" i="1" s="1"/>
  <c r="AI248" i="1"/>
  <c r="AI250" i="1" s="1"/>
  <c r="AY248" i="1"/>
  <c r="AY250" i="1" s="1"/>
  <c r="BK149" i="1"/>
  <c r="J248" i="1"/>
  <c r="J250" i="1" s="1"/>
  <c r="Z248" i="1"/>
  <c r="Z250" i="1" s="1"/>
  <c r="AP248" i="1"/>
  <c r="AP250" i="1" s="1"/>
  <c r="BF248" i="1"/>
  <c r="BF250" i="1" s="1"/>
  <c r="BK17" i="1"/>
  <c r="F250" i="1" l="1"/>
  <c r="D252" i="1"/>
  <c r="E252" i="1" s="1"/>
  <c r="BK248" i="1"/>
  <c r="G252" i="1" l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AG252" i="1" s="1"/>
  <c r="AH252" i="1" s="1"/>
  <c r="AI252" i="1" s="1"/>
  <c r="AJ252" i="1" s="1"/>
  <c r="AK252" i="1" s="1"/>
  <c r="AL252" i="1" s="1"/>
  <c r="AM252" i="1" s="1"/>
  <c r="AN252" i="1" s="1"/>
  <c r="AO252" i="1" s="1"/>
  <c r="AP252" i="1" s="1"/>
  <c r="AQ252" i="1" s="1"/>
  <c r="AR252" i="1" s="1"/>
  <c r="AS252" i="1" s="1"/>
  <c r="AT252" i="1" s="1"/>
  <c r="AU252" i="1" s="1"/>
  <c r="AV252" i="1" s="1"/>
  <c r="AW252" i="1" s="1"/>
  <c r="AX252" i="1" s="1"/>
  <c r="AY252" i="1" s="1"/>
  <c r="AZ252" i="1" s="1"/>
  <c r="BA252" i="1" s="1"/>
  <c r="BB252" i="1" s="1"/>
  <c r="BC252" i="1" s="1"/>
  <c r="BD252" i="1" s="1"/>
  <c r="BE252" i="1" s="1"/>
  <c r="BF252" i="1" s="1"/>
  <c r="BG252" i="1" s="1"/>
  <c r="BH252" i="1" s="1"/>
  <c r="BI2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tc={A2E0250F-5636-4BE2-BE0E-57E0EB504E71}</author>
    <author>tc={5FD69C8B-3AF2-4E34-A8C3-84210D276B55}</author>
    <author>tc={D3708D18-D024-48A5-97F9-C5A1BC507A1B}</author>
    <author>tc={3E423FE0-E7D0-401D-A9C9-E2DDF28F8DA1}</author>
    <author>tc={26DCD832-AF4D-43FB-85C2-54F615AA8C58}</author>
    <author>tc={5F364B98-6F34-4DA4-8495-16C29BF24E0B}</author>
    <author>tc={2A46263A-02FC-4E27-A18E-46115735061E}</author>
  </authors>
  <commentList>
    <comment ref="M15" authorId="0" shapeId="0" xr:uid="{A2E0250F-5636-4BE2-BE0E-57E0EB504E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CHV Lançamento Sonic - Anhembi</t>
      </text>
    </comment>
    <comment ref="P15" authorId="1" shapeId="0" xr:uid="{5FD69C8B-3AF2-4E34-A8C3-84210D276B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Merz saldo a faturar MDZ</t>
      </text>
    </comment>
    <comment ref="R15" authorId="2" shapeId="0" xr:uid="{D3708D18-D024-48A5-97F9-C5A1BC507A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Clube do Presidente 90 dias</t>
      </text>
    </comment>
    <comment ref="U15" authorId="3" shapeId="0" xr:uid="{3E423FE0-E7D0-401D-A9C9-E2DDF28F8D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Saldo a faturar - Sonic</t>
      </text>
    </comment>
    <comment ref="AC15" authorId="4" shapeId="0" xr:uid="{26DCD832-AF4D-43FB-85C2-54F615AA8C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Merz saldo a faturar - Marbella</t>
      </text>
    </comment>
    <comment ref="K16" authorId="5" shapeId="0" xr:uid="{5F364B98-6F34-4DA4-8495-16C29BF24E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Merz Chile e MDZ</t>
      </text>
    </comment>
    <comment ref="O16" authorId="6" shapeId="0" xr:uid="{2A46263A-02FC-4E27-A18E-4611573506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Merz Chile e MDZ</t>
      </text>
    </comment>
  </commentList>
</comments>
</file>

<file path=xl/sharedStrings.xml><?xml version="1.0" encoding="utf-8"?>
<sst xmlns="http://schemas.openxmlformats.org/spreadsheetml/2006/main" count="617" uniqueCount="316">
  <si>
    <t>Dia</t>
  </si>
  <si>
    <t>14/04/26 Ter</t>
  </si>
  <si>
    <t>15/04/26 Qua</t>
  </si>
  <si>
    <t>16/04/26 Qui</t>
  </si>
  <si>
    <t>17/04/26 Sex</t>
  </si>
  <si>
    <t>18/04/26 S b</t>
  </si>
  <si>
    <t>21/04/26 Ter</t>
  </si>
  <si>
    <t>22/04/26 Qua</t>
  </si>
  <si>
    <t>23/04/26 Qui</t>
  </si>
  <si>
    <t>24/04/26 Sex</t>
  </si>
  <si>
    <t>25/04/26 S b</t>
  </si>
  <si>
    <t>28/04/26 Ter</t>
  </si>
  <si>
    <t>29/04/26 Qua</t>
  </si>
  <si>
    <t>30/04/26 Qui</t>
  </si>
  <si>
    <t>01/05/26 Sex</t>
  </si>
  <si>
    <t>02/05/26 S b</t>
  </si>
  <si>
    <t>05/05/26 Ter</t>
  </si>
  <si>
    <t>06/05/26 Qua</t>
  </si>
  <si>
    <t>07/05/26 Qui</t>
  </si>
  <si>
    <t>08/05/26 Sex</t>
  </si>
  <si>
    <t>09/05/26 S b</t>
  </si>
  <si>
    <t>12/05/26 Ter</t>
  </si>
  <si>
    <t>13/05/26 Qua</t>
  </si>
  <si>
    <t>14/05/26 Qui</t>
  </si>
  <si>
    <t>15/05/26 Sex</t>
  </si>
  <si>
    <t>16/05/26 S b</t>
  </si>
  <si>
    <t>19/05/26 Ter</t>
  </si>
  <si>
    <t>20/05/26 Qua</t>
  </si>
  <si>
    <t>21/05/26 Qui</t>
  </si>
  <si>
    <t>22/05/26 Sex</t>
  </si>
  <si>
    <t>23/05/26 S b</t>
  </si>
  <si>
    <t>26/05/26 Ter</t>
  </si>
  <si>
    <t>27/05/26 Qua</t>
  </si>
  <si>
    <t>28/05/26 Qui</t>
  </si>
  <si>
    <t>29/05/26 Sex</t>
  </si>
  <si>
    <t>30/05/26 S b</t>
  </si>
  <si>
    <t>02/06/26 Ter</t>
  </si>
  <si>
    <t>03/06/26 Qua</t>
  </si>
  <si>
    <t>04/06/26 Qui</t>
  </si>
  <si>
    <t>05/06/26 Sex</t>
  </si>
  <si>
    <t>06/06/26 S b</t>
  </si>
  <si>
    <t>09/06/26 Ter</t>
  </si>
  <si>
    <t>10/06/26 Qua</t>
  </si>
  <si>
    <t>11/06/26 Qui</t>
  </si>
  <si>
    <t>12/06/26 Sex</t>
  </si>
  <si>
    <t>13/06/26 S b</t>
  </si>
  <si>
    <t>16/06/26 Ter</t>
  </si>
  <si>
    <t>17/06/26 Qua</t>
  </si>
  <si>
    <t>18/06/26 Qui</t>
  </si>
  <si>
    <t>19/06/26 Sex</t>
  </si>
  <si>
    <t>20/06/26 S b</t>
  </si>
  <si>
    <t>23/06/26 Ter</t>
  </si>
  <si>
    <t>24/06/26 Qua</t>
  </si>
  <si>
    <t>25/06/26 Qui</t>
  </si>
  <si>
    <t>26/06/26 Sex</t>
  </si>
  <si>
    <t>27/06/26 S b</t>
  </si>
  <si>
    <t>30/06/26 Ter</t>
  </si>
  <si>
    <t>01/07/26 Qua</t>
  </si>
  <si>
    <t>02/07/26 Qui</t>
  </si>
  <si>
    <t>03/07/26 Sex</t>
  </si>
  <si>
    <t>04/07/26 S b</t>
  </si>
  <si>
    <t>20/04/26 Seg</t>
  </si>
  <si>
    <t>27/04/26 Seg</t>
  </si>
  <si>
    <t>04/05/26 Seg</t>
  </si>
  <si>
    <t>11/05/26 Seg</t>
  </si>
  <si>
    <t>18/05/26 Seg</t>
  </si>
  <si>
    <t>25/05/26 Seg</t>
  </si>
  <si>
    <t>01/06/26 Seg</t>
  </si>
  <si>
    <t>08/06/26 Seg</t>
  </si>
  <si>
    <t>15/06/26 Seg</t>
  </si>
  <si>
    <t>22/06/26 Seg</t>
  </si>
  <si>
    <t>29/06/26 Seg</t>
  </si>
  <si>
    <t>31/12/26 Qui</t>
  </si>
  <si>
    <t>TOTAL</t>
  </si>
  <si>
    <t xml:space="preserve">                           RECEITAS            </t>
  </si>
  <si>
    <t xml:space="preserve">             CLIENTES            </t>
  </si>
  <si>
    <t xml:space="preserve">    CONTAS A RECEBER (CLIENTES)</t>
  </si>
  <si>
    <t xml:space="preserve">    CHEVROLET                                         </t>
  </si>
  <si>
    <t xml:space="preserve">    CARGILL                                           </t>
  </si>
  <si>
    <t xml:space="preserve">    BCO MERCEDES-BENZ                                 </t>
  </si>
  <si>
    <t xml:space="preserve">    B3 S.A.                                           </t>
  </si>
  <si>
    <t xml:space="preserve">    MERZ FARMACEUTICA                                 </t>
  </si>
  <si>
    <t xml:space="preserve">    CHEVROLET - PV                                    </t>
  </si>
  <si>
    <t xml:space="preserve">    CHEVROLET - UC                                    </t>
  </si>
  <si>
    <t xml:space="preserve">    CHEVROLET - ONSTAR                                </t>
  </si>
  <si>
    <t xml:space="preserve"> ** TOTAL CONTAS A RECEBER (CLIENTES)</t>
  </si>
  <si>
    <t xml:space="preserve">                           DESPESAS            </t>
  </si>
  <si>
    <t xml:space="preserve">           FORNECEDORES          </t>
  </si>
  <si>
    <t xml:space="preserve">    CONTAS A PAGAR (DESPESAS)</t>
  </si>
  <si>
    <t xml:space="preserve">    PRISCILA - PRODUTORA                              </t>
  </si>
  <si>
    <t xml:space="preserve">    FERNANDA ELMOR PJ                                 </t>
  </si>
  <si>
    <t xml:space="preserve">    LUTTI COLAUTTO                                    </t>
  </si>
  <si>
    <t xml:space="preserve">    JOSE CARDOSO P EVENTOS                            </t>
  </si>
  <si>
    <t xml:space="preserve">    MINISTERIO DA PREV. SOCIAL - 2100                 </t>
  </si>
  <si>
    <t xml:space="preserve">    OMINT SAUDE                                       </t>
  </si>
  <si>
    <t xml:space="preserve">    FGTS                                              </t>
  </si>
  <si>
    <t xml:space="preserve">    MINISTERIO DA FAZENDA - CGSN - DAS                </t>
  </si>
  <si>
    <t xml:space="preserve">    VIVO                                              </t>
  </si>
  <si>
    <t xml:space="preserve">    ENEL                                              </t>
  </si>
  <si>
    <t xml:space="preserve">    VANESSA DE SOUSA                                  </t>
  </si>
  <si>
    <t xml:space="preserve">    CLARO                                             </t>
  </si>
  <si>
    <t xml:space="preserve">    PREF DO MUN DE SAO PAULO                          </t>
  </si>
  <si>
    <t xml:space="preserve">    RENATA CASSOL                                     </t>
  </si>
  <si>
    <t xml:space="preserve">    FACEBOOK                                          </t>
  </si>
  <si>
    <t xml:space="preserve">    BANCO BRADESCO SA                                 </t>
  </si>
  <si>
    <t xml:space="preserve">    SHUTTERSTOCK                                      </t>
  </si>
  <si>
    <t xml:space="preserve">    FERNANDA RODRIGUES                                </t>
  </si>
  <si>
    <t xml:space="preserve">    MARCELO BASTOS FELIPPE                            </t>
  </si>
  <si>
    <t xml:space="preserve">    ATELIER LENZI                                     </t>
  </si>
  <si>
    <t xml:space="preserve">    RODOMINAS ENCOMENDAS LTDA.                        </t>
  </si>
  <si>
    <t xml:space="preserve">    CRISTIANE STRUTZEL                                </t>
  </si>
  <si>
    <t xml:space="preserve">    MERCADO LIVRE                                     </t>
  </si>
  <si>
    <t xml:space="preserve">    TRUST CONSULTORIA EMPRESARIAL                     </t>
  </si>
  <si>
    <t xml:space="preserve">    BRUNO CESAR NOGUEIRA                              </t>
  </si>
  <si>
    <t xml:space="preserve">    PAULO DE SA                                       </t>
  </si>
  <si>
    <t xml:space="preserve">    BANCO ITAU UNIBANCO SA                            </t>
  </si>
  <si>
    <t xml:space="preserve">    M.M.E PRIMO                                       </t>
  </si>
  <si>
    <t xml:space="preserve">    JOELMA SANTOS                                     </t>
  </si>
  <si>
    <t xml:space="preserve">    SUDESTE SOLUCOES                                  </t>
  </si>
  <si>
    <t xml:space="preserve">    LUIZ CARDOSO                                      </t>
  </si>
  <si>
    <t xml:space="preserve">    ALEXANDRE PONTES                                  </t>
  </si>
  <si>
    <t xml:space="preserve">    ITC ADMINISTRACAO                                 </t>
  </si>
  <si>
    <t xml:space="preserve">    LINKEDIN                                          </t>
  </si>
  <si>
    <t xml:space="preserve">    SECRETARIA DA REC. FEDERAL - 6912                 </t>
  </si>
  <si>
    <t xml:space="preserve">    FORNECEDORES DIVERSOS                             </t>
  </si>
  <si>
    <t xml:space="preserve">    FABIANE MADRILES                                  </t>
  </si>
  <si>
    <t xml:space="preserve">    OCLB (RIO MINAS)                                  </t>
  </si>
  <si>
    <t xml:space="preserve">    GISELLA NOBREGA                                   </t>
  </si>
  <si>
    <t xml:space="preserve">    SECRETARIA MUN. DA FAZENDA                        </t>
  </si>
  <si>
    <t xml:space="preserve">    SUELLEN C A OLIVEIRA                              </t>
  </si>
  <si>
    <t xml:space="preserve">    ADOBE                                             </t>
  </si>
  <si>
    <t xml:space="preserve">    BANCO BANRISUL                                    </t>
  </si>
  <si>
    <t xml:space="preserve">    ALOC SOLUCOES EMPRESARIAIS                        </t>
  </si>
  <si>
    <t xml:space="preserve">    JOELMA SANTOS PF                                  </t>
  </si>
  <si>
    <t xml:space="preserve">    EMERSON RINALDI                                   </t>
  </si>
  <si>
    <t xml:space="preserve">    KARIM BISIGNANI  (DON COSTA)                      </t>
  </si>
  <si>
    <t xml:space="preserve">    PORTO SEGURO SAUDE                                </t>
  </si>
  <si>
    <t xml:space="preserve">    PEDRO CAMPOS                                      </t>
  </si>
  <si>
    <t xml:space="preserve">    SECRETARIA DA REC. FEDERAL - 1734                 </t>
  </si>
  <si>
    <t xml:space="preserve">    ADALGISA PIRES FALCAO                             </t>
  </si>
  <si>
    <t xml:space="preserve">    GRAFICA XINGU                                     </t>
  </si>
  <si>
    <t xml:space="preserve">    GOOGLE ADS                                        </t>
  </si>
  <si>
    <t xml:space="preserve">    GLOBAL I 9 DIGITAL LTDA                           </t>
  </si>
  <si>
    <t xml:space="preserve">    WELLHUB                                           </t>
  </si>
  <si>
    <t xml:space="preserve">    MARINEIDE SANTOS                                  </t>
  </si>
  <si>
    <t xml:space="preserve">    CAROL DE P. ORBERG                                </t>
  </si>
  <si>
    <t xml:space="preserve">    MARCELLA DE ALMEIDA BRAGADO                       </t>
  </si>
  <si>
    <t xml:space="preserve">    CONSORCIO BRADESCO                                </t>
  </si>
  <si>
    <t xml:space="preserve">    ONE7 FIDC                                         </t>
  </si>
  <si>
    <t xml:space="preserve">    DOCTO DE ARRECADACAO DE RECEITAS FEDERAIS         </t>
  </si>
  <si>
    <t xml:space="preserve">    GILSON ANDRADE                                    </t>
  </si>
  <si>
    <t xml:space="preserve">    SEGURO RIOGRANDE                                  </t>
  </si>
  <si>
    <t xml:space="preserve">    EXECUTIVO EXPRESS                                 </t>
  </si>
  <si>
    <t xml:space="preserve">    TT CAPITALIZACAO CAIXA                            </t>
  </si>
  <si>
    <t xml:space="preserve">    CONSORCIO PORTO SEGURO                            </t>
  </si>
  <si>
    <t xml:space="preserve">    CONTROL-E                                         </t>
  </si>
  <si>
    <t xml:space="preserve">    BANCO CAIXA ECONOMICA FEDERAL                     </t>
  </si>
  <si>
    <t xml:space="preserve">    AZA VIAGENS E TURISMO                             </t>
  </si>
  <si>
    <t xml:space="preserve">    PARDAL - MACBROS TI                               </t>
  </si>
  <si>
    <t xml:space="preserve">    MENSALIDADE                                       </t>
  </si>
  <si>
    <t xml:space="preserve">    CASSIA ORNELLAS                                   </t>
  </si>
  <si>
    <t xml:space="preserve">    86 CASTING                                        </t>
  </si>
  <si>
    <t xml:space="preserve">    RICARDO YAMAGUTI                                  </t>
  </si>
  <si>
    <t xml:space="preserve">    GEZICA BENICIO                                    </t>
  </si>
  <si>
    <t xml:space="preserve">    RAYANA AVELINO DE MEDEIROS MELO                   </t>
  </si>
  <si>
    <t xml:space="preserve">    RAYANA MELO                                       </t>
  </si>
  <si>
    <t xml:space="preserve">    DANIELLE PAULINO RAGNOLI                          </t>
  </si>
  <si>
    <t xml:space="preserve">    LIVIA SAMPAIO                                     </t>
  </si>
  <si>
    <t xml:space="preserve">    ALICERCE X                                        </t>
  </si>
  <si>
    <t xml:space="preserve">    ANA BARBARA (ARQUITETA)                           </t>
  </si>
  <si>
    <t xml:space="preserve">    REBECA ADMINISTRADORA                             </t>
  </si>
  <si>
    <t xml:space="preserve">    ANA BARROS LTDA                                   </t>
  </si>
  <si>
    <t xml:space="preserve">    RAYSSA ESTEVES                                    </t>
  </si>
  <si>
    <t xml:space="preserve">    SIDNEI PEREIRA JUNIOR                             </t>
  </si>
  <si>
    <t xml:space="preserve">    RODRIGO ROSETE                                    </t>
  </si>
  <si>
    <t xml:space="preserve">    ARTILIST                                          </t>
  </si>
  <si>
    <t xml:space="preserve">    AG7 COMUNICACOES LTDA                             </t>
  </si>
  <si>
    <t xml:space="preserve">    THAIS REGINA DE OLIVEIRA                          </t>
  </si>
  <si>
    <t xml:space="preserve">    CHAT GPT                                          </t>
  </si>
  <si>
    <t xml:space="preserve">    ADRIANA AGGIO                                     </t>
  </si>
  <si>
    <t xml:space="preserve">    A1 SERVICOS DE LIMPEZA E MANUTENCAO LTD           </t>
  </si>
  <si>
    <t xml:space="preserve">    CONSORCIO ITAU                                    </t>
  </si>
  <si>
    <t xml:space="preserve">    ARTISAN STUDIO                                    </t>
  </si>
  <si>
    <t xml:space="preserve">    FERNANDA ALCANTARA                                </t>
  </si>
  <si>
    <t xml:space="preserve">    BANKAP FIDC                                       </t>
  </si>
  <si>
    <t xml:space="preserve">    CAJU                                              </t>
  </si>
  <si>
    <t xml:space="preserve">    NATHALIA CARVALHO                                 </t>
  </si>
  <si>
    <t xml:space="preserve">    PROGRESS INFORMATICA LTDA                         </t>
  </si>
  <si>
    <t xml:space="preserve">    PUBLISIS INFORMATICA LTDA                         </t>
  </si>
  <si>
    <t xml:space="preserve">    GM SOUTH AMERICA                                  </t>
  </si>
  <si>
    <t xml:space="preserve">    FABRICIO CARVALHO CORREIA                         </t>
  </si>
  <si>
    <t xml:space="preserve">    REPASSE DE IOF                                    </t>
  </si>
  <si>
    <t xml:space="preserve">    ELEVEN LABS                                       </t>
  </si>
  <si>
    <t xml:space="preserve">    VANESSA PERIANEZ                                  </t>
  </si>
  <si>
    <t xml:space="preserve">    ALELO CARTOES PRE PAGO                            </t>
  </si>
  <si>
    <t xml:space="preserve">    RODRIGO ANDRES MARCHANT GALLEGUILLOS              </t>
  </si>
  <si>
    <t xml:space="preserve">    MT GLOBAL                                         </t>
  </si>
  <si>
    <t xml:space="preserve">    SEMPARAR                                          </t>
  </si>
  <si>
    <t xml:space="preserve">    ARIADNE NEVES                                     </t>
  </si>
  <si>
    <t xml:space="preserve">    RAQUEL MESQUITA DE LIMA                           </t>
  </si>
  <si>
    <t xml:space="preserve">    CAROLINA TRIBST                                   </t>
  </si>
  <si>
    <t xml:space="preserve">    TOPAZ LABS                                        </t>
  </si>
  <si>
    <t xml:space="preserve">    ALVES MARTINS DIGITAL                             </t>
  </si>
  <si>
    <t xml:space="preserve">    PAULO LEMES DA                                    </t>
  </si>
  <si>
    <t xml:space="preserve">    ALEST TKTL INFORMATICA LTDA                       </t>
  </si>
  <si>
    <t xml:space="preserve">    VIVATERRA                                         </t>
  </si>
  <si>
    <t xml:space="preserve">    LUCIA FARIA INTELIGENCIA EDITORIAL                </t>
  </si>
  <si>
    <t xml:space="preserve">    BIONDI PRODUCOES                                  </t>
  </si>
  <si>
    <t xml:space="preserve">    THAYRAN STUDIO                                    </t>
  </si>
  <si>
    <t xml:space="preserve">    POSHER                                            </t>
  </si>
  <si>
    <t xml:space="preserve">    LARISSA DOS SANTOS SILVA                          </t>
  </si>
  <si>
    <t xml:space="preserve">    FERREIRA GASTON ALEJANDRO                         </t>
  </si>
  <si>
    <t xml:space="preserve">    RENAN CARVALHO SILVA DA MATA                      </t>
  </si>
  <si>
    <t xml:space="preserve">    SPE GL EVENTS CENTRO DE CONVENCOES ANHEMBI S.A.   </t>
  </si>
  <si>
    <t xml:space="preserve">    VICTOR CRUZ DA SILVA                              </t>
  </si>
  <si>
    <t xml:space="preserve">    ADSR LOG ARMAZENS GERAIS                          </t>
  </si>
  <si>
    <t xml:space="preserve">    CAPCUT                                            </t>
  </si>
  <si>
    <t xml:space="preserve"> ** TOTAL CONTAS A PAGAR (DESPESAS)</t>
  </si>
  <si>
    <t xml:space="preserve">    CONTAS A PAGAR (FORNECEDORES)</t>
  </si>
  <si>
    <t xml:space="preserve">    TSO BRASIL                                        </t>
  </si>
  <si>
    <t xml:space="preserve">    TINTURARIA VERA CRUZ                              </t>
  </si>
  <si>
    <t xml:space="preserve">    ANDREY GOMES SANTOS 39872273898                   </t>
  </si>
  <si>
    <t xml:space="preserve">    APPLE PRODUCOES                                   </t>
  </si>
  <si>
    <t xml:space="preserve">    FERNANDO CEREJO    PF                             </t>
  </si>
  <si>
    <t xml:space="preserve">    FERRARA EVENTOS                                   </t>
  </si>
  <si>
    <t xml:space="preserve">    RCM COM                                           </t>
  </si>
  <si>
    <t xml:space="preserve">    BETA                                              </t>
  </si>
  <si>
    <t xml:space="preserve">    CIA DO TP                                         </t>
  </si>
  <si>
    <t xml:space="preserve">    ESSOR SEGUROS S.A.                                </t>
  </si>
  <si>
    <t xml:space="preserve">    JS AUDIO VISUAL LTDA                              </t>
  </si>
  <si>
    <t xml:space="preserve">    EDU REIS                                          </t>
  </si>
  <si>
    <t xml:space="preserve">    LGC                                               </t>
  </si>
  <si>
    <t xml:space="preserve">    ZAMBRA                                            </t>
  </si>
  <si>
    <t xml:space="preserve">    FELIPE LENINE                                     </t>
  </si>
  <si>
    <t xml:space="preserve">    JBRAU TRANSPORTE E SERVICOS                       </t>
  </si>
  <si>
    <t xml:space="preserve">    LMN (CHECON LOCACOES)                             </t>
  </si>
  <si>
    <t xml:space="preserve">    VECHINI REIS                                      </t>
  </si>
  <si>
    <t xml:space="preserve">    CLEVERSON EVENTOS                                 </t>
  </si>
  <si>
    <t xml:space="preserve">    TAPAJOS CREATIVE                                  </t>
  </si>
  <si>
    <t xml:space="preserve">    FABIANA CONCEICAO MOTA                            </t>
  </si>
  <si>
    <t xml:space="preserve">    MAURI GALVAO DE ALMEIDA                           </t>
  </si>
  <si>
    <t xml:space="preserve">    OTRA CENOGRAFIA                                   </t>
  </si>
  <si>
    <t xml:space="preserve">    LOCALIZA                                          </t>
  </si>
  <si>
    <t xml:space="preserve">    EASYSIGN                                          </t>
  </si>
  <si>
    <t xml:space="preserve">    NOVA ODM                                          </t>
  </si>
  <si>
    <t xml:space="preserve">    ROGERIO ALVES MONTEIRO                            </t>
  </si>
  <si>
    <t xml:space="preserve">    ROGERIO ALVES MONTEIRO PF                         </t>
  </si>
  <si>
    <t xml:space="preserve">    CLEVERSON JIACOMIN DE OLIVEIRA                    </t>
  </si>
  <si>
    <t xml:space="preserve">    R13 - RODRIGO BUSO                                </t>
  </si>
  <si>
    <t xml:space="preserve">    MARIANA POCCI SILVA                               </t>
  </si>
  <si>
    <t xml:space="preserve">    SUELLEN OLIVEIRA                                  </t>
  </si>
  <si>
    <t xml:space="preserve">    RICARDO MARANO (GRUPO ON EVENTOS)                 </t>
  </si>
  <si>
    <t xml:space="preserve">    AURILENE ALVES DE MORAES 18707024843              </t>
  </si>
  <si>
    <t xml:space="preserve">    CP - LOCACAO E COMERCIO DE EQUIPAMENTOS PARA CONST</t>
  </si>
  <si>
    <t xml:space="preserve">    CLEITON JOSE DA SILVA                             </t>
  </si>
  <si>
    <t xml:space="preserve">    NAGILA COELHO                                     </t>
  </si>
  <si>
    <t xml:space="preserve">    FLAVIO TUFOLO                                     </t>
  </si>
  <si>
    <t xml:space="preserve">    TOALETE VIP                                       </t>
  </si>
  <si>
    <t xml:space="preserve">    ORGUEL INDUSTRIA E LOCACAO DE EQUIPAMENTOS S/A    </t>
  </si>
  <si>
    <t xml:space="preserve">    EKE ARTE E CONCEITO                               </t>
  </si>
  <si>
    <t xml:space="preserve">    SBR PRODUCOES                                     </t>
  </si>
  <si>
    <t xml:space="preserve">    JOVI BRINDES LTDA                                 </t>
  </si>
  <si>
    <t xml:space="preserve">    RENTAL CLIMATIZACAO DE AMBIENTES                  </t>
  </si>
  <si>
    <t xml:space="preserve">    TELINA RODRIGUES DE SOUZA                         </t>
  </si>
  <si>
    <t xml:space="preserve">    PATTY TOSETI PRODUCOES                            </t>
  </si>
  <si>
    <t xml:space="preserve">    FERNANDA TOGNETTI (BRAVE PRODUCOES LTDA)          </t>
  </si>
  <si>
    <t xml:space="preserve">    CORDOES DIGITAL                                   </t>
  </si>
  <si>
    <t xml:space="preserve">    LUCIANO FLAVIO DE OLIVEIRA LTDA                   </t>
  </si>
  <si>
    <t xml:space="preserve">    LUCCA'S CANDIES DISTRIBUIDORA LTDA                </t>
  </si>
  <si>
    <t xml:space="preserve">    JEN ENGENHARIA E EVENTOS LTDA                     </t>
  </si>
  <si>
    <t xml:space="preserve">    POWER BRASIL                                      </t>
  </si>
  <si>
    <t xml:space="preserve">    ARGENTA DISTRIBUICOES E REPRESENTACOES            </t>
  </si>
  <si>
    <t xml:space="preserve">    PROTEC QUIMICA                                    </t>
  </si>
  <si>
    <t xml:space="preserve">    RM LOCACOES DE EQUIPAMENTOS LTDA                  </t>
  </si>
  <si>
    <t xml:space="preserve">    RENATA MARANGHELLO FESTAS E EVENTOS               </t>
  </si>
  <si>
    <t xml:space="preserve">    MUBE SERVICOS LTDA                                </t>
  </si>
  <si>
    <t xml:space="preserve">    PACA EVENTOS E SERVICOS S.A                       </t>
  </si>
  <si>
    <t xml:space="preserve">    ANDREY GOMES  SANTOS PF                           </t>
  </si>
  <si>
    <t xml:space="preserve">    MARCELO OLIVEIRA BUFFET                           </t>
  </si>
  <si>
    <t xml:space="preserve">    KRAFORT INDUSTRIA E COMERCIO DE TOLDOS            </t>
  </si>
  <si>
    <t xml:space="preserve">    DSCL ARQUITETURA                                  </t>
  </si>
  <si>
    <t xml:space="preserve">    FERNANDO CEZAR CEREJO                             </t>
  </si>
  <si>
    <t xml:space="preserve">    RENTAL MASTER                                     </t>
  </si>
  <si>
    <t xml:space="preserve">    VICAP TUR                                         </t>
  </si>
  <si>
    <t xml:space="preserve">    ANDRESSA NEIRA  (SENTINELA EVENTOS)               </t>
  </si>
  <si>
    <t xml:space="preserve">    CLEITON JOSE DA SILVA    PF                       </t>
  </si>
  <si>
    <t xml:space="preserve">    PIUSOM AUDIO SERVICE                              </t>
  </si>
  <si>
    <t xml:space="preserve">    LPL LIGHTING PRODUCTIONS LTDA                     </t>
  </si>
  <si>
    <t xml:space="preserve">    PH EVENTOS 02                                     </t>
  </si>
  <si>
    <t xml:space="preserve">    YURASH DESIGN                                     </t>
  </si>
  <si>
    <t xml:space="preserve">    GO COMERCIO DIGITAL                               </t>
  </si>
  <si>
    <t xml:space="preserve">    NT ENERGIA                                        </t>
  </si>
  <si>
    <t xml:space="preserve">    APOIO BRASIL REMOCOES E EMERGENCIAS MEDICAS LTDA  </t>
  </si>
  <si>
    <t xml:space="preserve">    CAMILA NEGRINI DENADAI                            </t>
  </si>
  <si>
    <t xml:space="preserve">    LUIS WANDERLEI DE LIMA JUNIOR                     </t>
  </si>
  <si>
    <t xml:space="preserve">    LEANDRO FERREIRA SANTOS                           </t>
  </si>
  <si>
    <t xml:space="preserve">    AILE MELISSA                                      </t>
  </si>
  <si>
    <t xml:space="preserve">    DIEGO JOSE DA SILVA 43828706827                   </t>
  </si>
  <si>
    <t xml:space="preserve">    JAM EVENTOS E SERVICOS LTDA                       </t>
  </si>
  <si>
    <t xml:space="preserve">    CAROLINA MONTEIRO BERNARDO                        </t>
  </si>
  <si>
    <t xml:space="preserve">    FORTE E SOARES INDUSTRIA E COMERCIO LTDA          </t>
  </si>
  <si>
    <t xml:space="preserve">    GRUPO RRVM DE RESTAURANTES S/A                    </t>
  </si>
  <si>
    <t xml:space="preserve">    RENNER E COMMERCE                                 </t>
  </si>
  <si>
    <t xml:space="preserve">    S10 MARKETING ESPORTIVO LTDA                      </t>
  </si>
  <si>
    <t xml:space="preserve"> ** TOTAL CONTAS A PAGAR (FORNECEDORES)</t>
  </si>
  <si>
    <t>** TOTAL  D E S P E S A S</t>
  </si>
  <si>
    <t>RECEITAS - DESPESAS</t>
  </si>
  <si>
    <t xml:space="preserve">    PREMIUM TASTING -DIVERSOS</t>
  </si>
  <si>
    <t xml:space="preserve">    UPL</t>
  </si>
  <si>
    <t xml:space="preserve">    PREVISÕES SENSES TRAVEL - RECEBIMENTOS</t>
  </si>
  <si>
    <t xml:space="preserve">    PREVISÕES SENSES TRAVEL - PAGAMENTOS</t>
  </si>
  <si>
    <t>SALDO</t>
  </si>
  <si>
    <t>BRADESCO</t>
  </si>
  <si>
    <t>ITAÚ</t>
  </si>
  <si>
    <t>DIVERSOS</t>
  </si>
  <si>
    <t xml:space="preserve">    FATURAMENTOS - PREVISÕES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</si>
</sst>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7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quotePrefix="1"/>
    <xf numFmtId="0" fontId="4" fillId="0" borderId="0" xfId="0" applyFont="1"/>
    <xf numFmtId="0" fontId="5" fillId="0" borderId="0" xfId="0" applyFont="1"/>
    <xf numFmtId="4" fontId="0" fillId="0" borderId="0" xfId="0" applyNumberFormat="1"/>
    <xf numFmtId="4" fontId="3" fillId="0" borderId="0" xfId="0" applyNumberFormat="1" applyFont="1"/>
    <xf numFmtId="0" fontId="3" fillId="0" borderId="0" xfId="0" applyFont="1"/>
    <xf numFmtId="0" fontId="3" fillId="2" borderId="0" xfId="0" applyFont="1" applyFill="1"/>
    <xf numFmtId="4" fontId="3" fillId="2" borderId="0" xfId="0" applyNumberFormat="1" applyFont="1" applyFill="1"/>
    <xf numFmtId="0" fontId="1" fillId="3" borderId="0" xfId="0" applyFont="1" applyFill="1"/>
    <xf numFmtId="4" fontId="1" fillId="3" borderId="0" xfId="0" applyNumberFormat="1" applyFont="1" applyFill="1"/>
    <xf numFmtId="0" fontId="0" fillId="0" borderId="0" xfId="0" applyAlignment="1">
      <alignment horizontal="right"/>
    </xf>
    <xf numFmtId="0" fontId="3" fillId="4" borderId="0" xfId="0" applyFont="1" applyFill="1" applyAlignment="1">
      <alignment horizontal="right"/>
    </xf>
    <xf numFmtId="4" fontId="0" fillId="5" borderId="0" xfId="0" applyNumberFormat="1" applyFill="1"/>
    <xf numFmtId="4" fontId="2" fillId="0" borderId="0" xfId="0" applyNumberFormat="1" applyFont="1"/>
    <xf numFmtId="4" fontId="6" fillId="4" borderId="0" xfId="0" applyNumberFormat="1" applyFont="1" applyFill="1"/>
    <xf numFmtId="4" fontId="2" fillId="2" borderId="0" xfId="0" applyNumberFormat="1" applyFont="1" applyFill="1"/>
    <xf numFmtId="4" fontId="0" fillId="6" borderId="0" xfId="0" applyNumberFormat="1" applyFill="1"/>
    <xf numFmtId="0" fontId="0" fillId="6" borderId="0" xfId="0" applyFill="1"/>
    <xf numFmtId="4" fontId="7" fillId="4" borderId="0" xfId="0" applyNumberFormat="1" applyFont="1" applyFill="1"/>
    <xf numFmtId="164" fontId="0" fillId="0" borderId="0" xfId="0" applyNumberFormat="1"/>
    <xf numFmtId="0" fontId="0" fillId="7" borderId="0" xfId="0" applyFill="1"/>
    <xf numFmtId="4" fontId="0" fillId="7" borderId="0" xfId="0" applyNumberFormat="1" applyFill="1"/>
    <xf numFmtId="164" fontId="0" fillId="2" borderId="0" xfId="0" applyNumberFormat="1" applyFill="1"/>
    <xf numFmtId="0" fontId="2" fillId="0" borderId="0" xfId="0" applyFont="1"/>
    <xf numFmtId="4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erson Lampada" id="{BF9E0B3F-898A-4270-9995-16F8E41F90CF}" userId="9d0f3f4075e52659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6-04-14T20:23:08.16" personId="{BF9E0B3F-898A-4270-9995-16F8E41F90CF}" id="{A2E0250F-5636-4BE2-BE0E-57E0EB504E71}">
    <text>CHV Lançamento Sonic - Anhembi</text>
  </threadedComment>
  <threadedComment ref="P15" dT="2026-04-14T20:17:42.50" personId="{BF9E0B3F-898A-4270-9995-16F8E41F90CF}" id="{5FD69C8B-3AF2-4E34-A8C3-84210D276B55}">
    <text>Merz saldo a faturar MDZ</text>
  </threadedComment>
  <threadedComment ref="R15" dT="2026-04-14T20:06:13.69" personId="{BF9E0B3F-898A-4270-9995-16F8E41F90CF}" id="{D3708D18-D024-48A5-97F9-C5A1BC507A1B}">
    <text>Clube do Presidente 90 dias</text>
  </threadedComment>
  <threadedComment ref="U15" dT="2026-04-14T20:26:36.79" personId="{BF9E0B3F-898A-4270-9995-16F8E41F90CF}" id="{3E423FE0-E7D0-401D-A9C9-E2DDF28F8DA1}">
    <text>UC Saldo a faturar - Sonic</text>
  </threadedComment>
  <threadedComment ref="AC15" dT="2026-04-14T20:17:06.51" personId="{BF9E0B3F-898A-4270-9995-16F8E41F90CF}" id="{26DCD832-AF4D-43FB-85C2-54F615AA8C58}">
    <text>Merz saldo a faturar - Marbella</text>
  </threadedComment>
  <threadedComment ref="K16" dT="2026-04-14T20:04:34.30" personId="{BF9E0B3F-898A-4270-9995-16F8E41F90CF}" id="{5F364B98-6F34-4DA4-8495-16C29BF24E0B}">
    <text>Merz Chile e MDZ</text>
  </threadedComment>
  <threadedComment ref="O16" dT="2026-04-14T20:14:05.70" personId="{BF9E0B3F-898A-4270-9995-16F8E41F90CF}" id="{2A46263A-02FC-4E27-A18E-46115735061E}">
    <text>Merz Chile e MDZ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CD26-CC7A-4862-AC9C-DCA1ED0E0768}">
  <dimension ref="B1:BK269"/>
  <sheetViews>
    <sheetView tabSelected="1" workbookViewId="0">
      <pane xSplit="2" ySplit="17" topLeftCell="C239" activePane="bottomRight" state="frozen"/>
      <selection pane="topRight" activeCell="C1" sqref="C1"/>
      <selection pane="bottomLeft" activeCell="A17" sqref="A17"/>
      <selection pane="bottomRight" activeCell="F252" sqref="F252"/>
    </sheetView>
  </sheetViews>
  <sheetFormatPr defaultRowHeight="14.5" x14ac:dyDescent="0.35"/>
  <cols>
    <col min="1" max="1" width="1.6328125" customWidth="1"/>
    <col min="2" max="2" width="36.7265625" customWidth="1"/>
    <col min="3" max="14" width="13.6328125" customWidth="1"/>
    <col min="15" max="15" width="12.453125" bestFit="1" customWidth="1"/>
    <col min="16" max="20" width="12.26953125" bestFit="1" customWidth="1"/>
    <col min="21" max="21" width="12.453125" bestFit="1" customWidth="1"/>
    <col min="22" max="61" width="12.26953125" bestFit="1" customWidth="1"/>
    <col min="62" max="62" width="12.1796875" bestFit="1" customWidth="1"/>
    <col min="63" max="63" width="12.453125" bestFit="1" customWidth="1"/>
  </cols>
  <sheetData>
    <row r="1" spans="2:63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</row>
    <row r="2" spans="2:63" ht="22" x14ac:dyDescent="0.5">
      <c r="B2" s="2" t="s">
        <v>74</v>
      </c>
      <c r="C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</row>
    <row r="3" spans="2:63" ht="22" x14ac:dyDescent="0.5">
      <c r="B3" s="2" t="s">
        <v>75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61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62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63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64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65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66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67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68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69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70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71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72</v>
      </c>
      <c r="BK3" t="s">
        <v>73</v>
      </c>
    </row>
    <row r="4" spans="2:63" ht="16" x14ac:dyDescent="0.4">
      <c r="B4" s="3" t="s">
        <v>76</v>
      </c>
    </row>
    <row r="5" spans="2:63" x14ac:dyDescent="0.35">
      <c r="B5" t="s">
        <v>77</v>
      </c>
      <c r="C5" s="4">
        <v>0</v>
      </c>
      <c r="D5" s="4">
        <v>0</v>
      </c>
      <c r="E5" s="13">
        <v>4485615.95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565984.80000000005</v>
      </c>
      <c r="L5" s="4">
        <f>4976965.87-E5</f>
        <v>491349.91999999993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27807.94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18473.21</v>
      </c>
      <c r="AW5" s="4">
        <v>0</v>
      </c>
      <c r="AX5" s="4">
        <v>6307.55</v>
      </c>
      <c r="AY5" s="4">
        <v>0</v>
      </c>
      <c r="AZ5" s="4">
        <v>4740.38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f>SUM(C5:BJ5)</f>
        <v>5600279.75</v>
      </c>
    </row>
    <row r="6" spans="2:63" x14ac:dyDescent="0.35">
      <c r="B6" t="s">
        <v>78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42679.29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f t="shared" ref="BK6:BK17" si="0">SUM(C6:BJ6)</f>
        <v>42679.29</v>
      </c>
    </row>
    <row r="7" spans="2:63" x14ac:dyDescent="0.35">
      <c r="B7" t="s">
        <v>79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0.01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f t="shared" si="0"/>
        <v>0.01</v>
      </c>
    </row>
    <row r="8" spans="2:63" x14ac:dyDescent="0.35">
      <c r="B8" t="s">
        <v>80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2412969.96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f t="shared" si="0"/>
        <v>2412969.96</v>
      </c>
    </row>
    <row r="9" spans="2:63" x14ac:dyDescent="0.35">
      <c r="B9" t="s">
        <v>81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97666.62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807217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f t="shared" si="0"/>
        <v>904883.62</v>
      </c>
    </row>
    <row r="10" spans="2:63" x14ac:dyDescent="0.35">
      <c r="B10" t="s">
        <v>82</v>
      </c>
      <c r="C10" s="13">
        <v>32000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270593.40999999997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1192270.24</v>
      </c>
      <c r="AQ10" s="4">
        <v>1332542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f t="shared" si="0"/>
        <v>2827405.65</v>
      </c>
    </row>
    <row r="11" spans="2:63" x14ac:dyDescent="0.35">
      <c r="B11" t="s">
        <v>83</v>
      </c>
      <c r="C11" s="4">
        <v>0</v>
      </c>
      <c r="D11" s="4">
        <v>0</v>
      </c>
      <c r="E11" s="4">
        <v>0</v>
      </c>
      <c r="F11" s="4">
        <v>0</v>
      </c>
      <c r="G11" s="4">
        <v>281727.44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1000000</v>
      </c>
      <c r="BD11" s="4">
        <v>0</v>
      </c>
      <c r="BE11" s="4">
        <v>0</v>
      </c>
      <c r="BF11" s="4">
        <v>0</v>
      </c>
      <c r="BG11" s="4">
        <v>1713534.9700000002</v>
      </c>
      <c r="BH11" s="4">
        <v>0</v>
      </c>
      <c r="BI11" s="4">
        <v>0</v>
      </c>
      <c r="BJ11" s="4">
        <v>1602590.58</v>
      </c>
      <c r="BK11" s="4">
        <f t="shared" si="0"/>
        <v>4597852.99</v>
      </c>
    </row>
    <row r="12" spans="2:63" x14ac:dyDescent="0.35">
      <c r="B12" t="s">
        <v>84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97295.53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f t="shared" si="0"/>
        <v>97295.53</v>
      </c>
    </row>
    <row r="13" spans="2:63" x14ac:dyDescent="0.35">
      <c r="B13" t="s">
        <v>308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f>SUM(D13:BJ13)</f>
        <v>0</v>
      </c>
    </row>
    <row r="14" spans="2:63" x14ac:dyDescent="0.35">
      <c r="B14" t="s">
        <v>307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274149.65999999997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20000</v>
      </c>
      <c r="BK14" s="4">
        <f t="shared" si="0"/>
        <v>294149.65999999997</v>
      </c>
    </row>
    <row r="15" spans="2:63" x14ac:dyDescent="0.35">
      <c r="B15" s="21" t="s">
        <v>315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1156396.8400000001</v>
      </c>
      <c r="N15" s="22">
        <v>0</v>
      </c>
      <c r="O15" s="22">
        <v>0</v>
      </c>
      <c r="P15" s="22">
        <v>1102869</v>
      </c>
      <c r="Q15" s="22">
        <v>0</v>
      </c>
      <c r="R15" s="22">
        <v>3662296.48</v>
      </c>
      <c r="S15" s="22">
        <v>0</v>
      </c>
      <c r="T15" s="22">
        <v>0</v>
      </c>
      <c r="U15" s="22">
        <v>11018218.09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4354497.24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f t="shared" ref="BK15" si="1">SUM(C15:BJ15)</f>
        <v>21294277.649999999</v>
      </c>
    </row>
    <row r="16" spans="2:63" x14ac:dyDescent="0.35">
      <c r="B16" s="18" t="s">
        <v>309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17">
        <v>1500000</v>
      </c>
      <c r="L16" s="4">
        <v>0</v>
      </c>
      <c r="M16" s="4">
        <v>0</v>
      </c>
      <c r="N16" s="4">
        <v>0</v>
      </c>
      <c r="O16" s="17">
        <v>700000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f t="shared" si="0"/>
        <v>2200000</v>
      </c>
    </row>
    <row r="17" spans="2:63" x14ac:dyDescent="0.35">
      <c r="B17" s="7" t="s">
        <v>85</v>
      </c>
      <c r="C17" s="8">
        <f t="shared" ref="C17:Q17" si="2">SUM(C5:C16)</f>
        <v>32000</v>
      </c>
      <c r="D17" s="8">
        <f t="shared" si="2"/>
        <v>0</v>
      </c>
      <c r="E17" s="8">
        <f>SUM(E5:E16)</f>
        <v>4485615.95</v>
      </c>
      <c r="F17" s="8">
        <f t="shared" si="2"/>
        <v>0</v>
      </c>
      <c r="G17" s="8">
        <f t="shared" si="2"/>
        <v>281727.44</v>
      </c>
      <c r="H17" s="8">
        <f t="shared" si="2"/>
        <v>0</v>
      </c>
      <c r="I17" s="8">
        <f t="shared" si="2"/>
        <v>0</v>
      </c>
      <c r="J17" s="8">
        <f t="shared" si="2"/>
        <v>0</v>
      </c>
      <c r="K17" s="8">
        <f>SUM(K5:K16)</f>
        <v>2065984.81</v>
      </c>
      <c r="L17" s="8">
        <f t="shared" si="2"/>
        <v>765499.57999999984</v>
      </c>
      <c r="M17" s="8">
        <f t="shared" si="2"/>
        <v>1156396.8400000001</v>
      </c>
      <c r="N17" s="8">
        <f t="shared" si="2"/>
        <v>0</v>
      </c>
      <c r="O17" s="8">
        <f t="shared" si="2"/>
        <v>700000</v>
      </c>
      <c r="P17" s="8">
        <f t="shared" si="2"/>
        <v>1102869</v>
      </c>
      <c r="Q17" s="8">
        <f t="shared" si="2"/>
        <v>97666.62</v>
      </c>
      <c r="R17" s="8">
        <f>SUM(R6:R16)</f>
        <v>3662296.48</v>
      </c>
      <c r="S17" s="8">
        <f t="shared" ref="S17:BJ17" si="3">SUM(S5:S16)</f>
        <v>0</v>
      </c>
      <c r="T17" s="8">
        <f t="shared" si="3"/>
        <v>0</v>
      </c>
      <c r="U17" s="8">
        <f t="shared" si="3"/>
        <v>11018218.09</v>
      </c>
      <c r="V17" s="8">
        <f t="shared" si="3"/>
        <v>270593.40999999997</v>
      </c>
      <c r="W17" s="8">
        <f t="shared" si="3"/>
        <v>807217</v>
      </c>
      <c r="X17" s="8">
        <f t="shared" si="3"/>
        <v>27807.94</v>
      </c>
      <c r="Y17" s="8">
        <f t="shared" si="3"/>
        <v>0</v>
      </c>
      <c r="Z17" s="8">
        <f t="shared" si="3"/>
        <v>0</v>
      </c>
      <c r="AA17" s="8">
        <f t="shared" si="3"/>
        <v>42679.29</v>
      </c>
      <c r="AB17" s="8">
        <f t="shared" si="3"/>
        <v>0</v>
      </c>
      <c r="AC17" s="8">
        <f t="shared" si="3"/>
        <v>4354497.24</v>
      </c>
      <c r="AD17" s="8">
        <f t="shared" si="3"/>
        <v>0</v>
      </c>
      <c r="AE17" s="8">
        <f t="shared" si="3"/>
        <v>0</v>
      </c>
      <c r="AF17" s="8">
        <f t="shared" si="3"/>
        <v>2412969.96</v>
      </c>
      <c r="AG17" s="8">
        <f t="shared" si="3"/>
        <v>0</v>
      </c>
      <c r="AH17" s="8">
        <f t="shared" si="3"/>
        <v>0</v>
      </c>
      <c r="AI17" s="8">
        <f t="shared" si="3"/>
        <v>0</v>
      </c>
      <c r="AJ17" s="8">
        <f t="shared" si="3"/>
        <v>0</v>
      </c>
      <c r="AK17" s="8">
        <f t="shared" si="3"/>
        <v>0</v>
      </c>
      <c r="AL17" s="8">
        <f t="shared" si="3"/>
        <v>0</v>
      </c>
      <c r="AM17" s="8">
        <f t="shared" si="3"/>
        <v>0</v>
      </c>
      <c r="AN17" s="8">
        <f t="shared" si="3"/>
        <v>0</v>
      </c>
      <c r="AO17" s="8">
        <f t="shared" si="3"/>
        <v>0</v>
      </c>
      <c r="AP17" s="8">
        <f t="shared" si="3"/>
        <v>1192270.24</v>
      </c>
      <c r="AQ17" s="8">
        <f t="shared" si="3"/>
        <v>1332542</v>
      </c>
      <c r="AR17" s="8">
        <f t="shared" si="3"/>
        <v>0</v>
      </c>
      <c r="AS17" s="8">
        <f t="shared" si="3"/>
        <v>0</v>
      </c>
      <c r="AT17" s="8">
        <f t="shared" si="3"/>
        <v>0</v>
      </c>
      <c r="AU17" s="8">
        <f t="shared" si="3"/>
        <v>0</v>
      </c>
      <c r="AV17" s="8">
        <f t="shared" si="3"/>
        <v>18473.21</v>
      </c>
      <c r="AW17" s="8">
        <f t="shared" si="3"/>
        <v>0</v>
      </c>
      <c r="AX17" s="8">
        <f t="shared" si="3"/>
        <v>6307.55</v>
      </c>
      <c r="AY17" s="8">
        <f t="shared" si="3"/>
        <v>0</v>
      </c>
      <c r="AZ17" s="8">
        <f t="shared" si="3"/>
        <v>4740.38</v>
      </c>
      <c r="BA17" s="8">
        <f t="shared" si="3"/>
        <v>0</v>
      </c>
      <c r="BB17" s="8">
        <f t="shared" si="3"/>
        <v>0</v>
      </c>
      <c r="BC17" s="8">
        <f t="shared" si="3"/>
        <v>1000000</v>
      </c>
      <c r="BD17" s="8">
        <f t="shared" si="3"/>
        <v>0</v>
      </c>
      <c r="BE17" s="8">
        <f t="shared" si="3"/>
        <v>97295.53</v>
      </c>
      <c r="BF17" s="8">
        <f t="shared" si="3"/>
        <v>0</v>
      </c>
      <c r="BG17" s="8">
        <f t="shared" si="3"/>
        <v>1713534.9700000002</v>
      </c>
      <c r="BH17" s="8">
        <f t="shared" si="3"/>
        <v>0</v>
      </c>
      <c r="BI17" s="8">
        <f t="shared" si="3"/>
        <v>0</v>
      </c>
      <c r="BJ17" s="8">
        <f t="shared" si="3"/>
        <v>1622590.58</v>
      </c>
      <c r="BK17" s="8">
        <f t="shared" si="0"/>
        <v>40271794.110000007</v>
      </c>
    </row>
    <row r="18" spans="2:63" x14ac:dyDescent="0.35"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</row>
    <row r="19" spans="2:63" ht="22" x14ac:dyDescent="0.5">
      <c r="B19" s="2" t="s">
        <v>86</v>
      </c>
      <c r="C19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 t="s">
        <v>12</v>
      </c>
      <c r="O19" s="1" t="s">
        <v>13</v>
      </c>
      <c r="P19" s="1" t="s">
        <v>14</v>
      </c>
      <c r="Q19" s="1" t="s">
        <v>15</v>
      </c>
      <c r="R19" s="1" t="s">
        <v>16</v>
      </c>
      <c r="S19" s="1" t="s">
        <v>17</v>
      </c>
      <c r="T19" s="1" t="s">
        <v>18</v>
      </c>
      <c r="U19" s="1" t="s">
        <v>19</v>
      </c>
      <c r="V19" s="1" t="s">
        <v>20</v>
      </c>
      <c r="W19" s="1" t="s">
        <v>21</v>
      </c>
      <c r="X19" s="1" t="s">
        <v>22</v>
      </c>
      <c r="Y19" s="1" t="s">
        <v>23</v>
      </c>
      <c r="Z19" s="1" t="s">
        <v>24</v>
      </c>
      <c r="AA19" s="1" t="s">
        <v>25</v>
      </c>
      <c r="AB19" s="1" t="s">
        <v>26</v>
      </c>
      <c r="AC19" s="1" t="s">
        <v>27</v>
      </c>
      <c r="AD19" s="1" t="s">
        <v>28</v>
      </c>
      <c r="AE19" s="1" t="s">
        <v>29</v>
      </c>
      <c r="AF19" s="1" t="s">
        <v>30</v>
      </c>
      <c r="AG19" s="1" t="s">
        <v>31</v>
      </c>
      <c r="AH19" s="1" t="s">
        <v>32</v>
      </c>
      <c r="AI19" s="1" t="s">
        <v>33</v>
      </c>
      <c r="AJ19" s="1" t="s">
        <v>34</v>
      </c>
      <c r="AK19" s="1" t="s">
        <v>35</v>
      </c>
      <c r="AL19" s="1" t="s">
        <v>36</v>
      </c>
      <c r="AM19" s="1" t="s">
        <v>37</v>
      </c>
      <c r="AN19" s="1" t="s">
        <v>38</v>
      </c>
      <c r="AO19" s="1" t="s">
        <v>39</v>
      </c>
      <c r="AP19" s="1" t="s">
        <v>40</v>
      </c>
      <c r="AQ19" s="1" t="s">
        <v>41</v>
      </c>
      <c r="AR19" s="1" t="s">
        <v>42</v>
      </c>
      <c r="AS19" s="1" t="s">
        <v>43</v>
      </c>
      <c r="AT19" s="1" t="s">
        <v>44</v>
      </c>
      <c r="AU19" s="1" t="s">
        <v>45</v>
      </c>
      <c r="AV19" s="1" t="s">
        <v>46</v>
      </c>
      <c r="AW19" s="1" t="s">
        <v>47</v>
      </c>
      <c r="AX19" s="1" t="s">
        <v>48</v>
      </c>
      <c r="AY19" s="1" t="s">
        <v>49</v>
      </c>
      <c r="AZ19" s="1" t="s">
        <v>50</v>
      </c>
      <c r="BA19" s="1" t="s">
        <v>51</v>
      </c>
      <c r="BB19" s="1" t="s">
        <v>52</v>
      </c>
      <c r="BC19" s="1" t="s">
        <v>53</v>
      </c>
      <c r="BD19" s="1" t="s">
        <v>54</v>
      </c>
      <c r="BE19" s="1" t="s">
        <v>55</v>
      </c>
      <c r="BF19" s="1" t="s">
        <v>56</v>
      </c>
      <c r="BG19" s="1" t="s">
        <v>57</v>
      </c>
      <c r="BH19" s="1" t="s">
        <v>58</v>
      </c>
      <c r="BI19" s="1" t="s">
        <v>59</v>
      </c>
      <c r="BJ19" s="1" t="s">
        <v>60</v>
      </c>
    </row>
    <row r="20" spans="2:63" ht="22" x14ac:dyDescent="0.5">
      <c r="B20" s="2" t="s">
        <v>87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61</v>
      </c>
      <c r="H20" s="1" t="s">
        <v>6</v>
      </c>
      <c r="I20" s="1" t="s">
        <v>7</v>
      </c>
      <c r="J20" s="1" t="s">
        <v>8</v>
      </c>
      <c r="K20" s="1" t="s">
        <v>9</v>
      </c>
      <c r="L20" s="1" t="s">
        <v>62</v>
      </c>
      <c r="M20" s="1" t="s">
        <v>11</v>
      </c>
      <c r="N20" s="1" t="s">
        <v>12</v>
      </c>
      <c r="O20" s="1" t="s">
        <v>13</v>
      </c>
      <c r="P20" s="1" t="s">
        <v>14</v>
      </c>
      <c r="Q20" s="1" t="s">
        <v>63</v>
      </c>
      <c r="R20" s="1" t="s">
        <v>16</v>
      </c>
      <c r="S20" s="1" t="s">
        <v>17</v>
      </c>
      <c r="T20" s="1" t="s">
        <v>18</v>
      </c>
      <c r="U20" s="1" t="s">
        <v>19</v>
      </c>
      <c r="V20" s="1" t="s">
        <v>64</v>
      </c>
      <c r="W20" s="1" t="s">
        <v>21</v>
      </c>
      <c r="X20" s="1" t="s">
        <v>22</v>
      </c>
      <c r="Y20" s="1" t="s">
        <v>23</v>
      </c>
      <c r="Z20" s="1" t="s">
        <v>24</v>
      </c>
      <c r="AA20" s="1" t="s">
        <v>65</v>
      </c>
      <c r="AB20" s="1" t="s">
        <v>26</v>
      </c>
      <c r="AC20" s="1" t="s">
        <v>27</v>
      </c>
      <c r="AD20" s="1" t="s">
        <v>28</v>
      </c>
      <c r="AE20" s="1" t="s">
        <v>29</v>
      </c>
      <c r="AF20" s="1" t="s">
        <v>66</v>
      </c>
      <c r="AG20" s="1" t="s">
        <v>31</v>
      </c>
      <c r="AH20" s="1" t="s">
        <v>32</v>
      </c>
      <c r="AI20" s="1" t="s">
        <v>33</v>
      </c>
      <c r="AJ20" s="1" t="s">
        <v>34</v>
      </c>
      <c r="AK20" s="1" t="s">
        <v>67</v>
      </c>
      <c r="AL20" s="1" t="s">
        <v>36</v>
      </c>
      <c r="AM20" s="1" t="s">
        <v>37</v>
      </c>
      <c r="AN20" s="1" t="s">
        <v>38</v>
      </c>
      <c r="AO20" s="1" t="s">
        <v>39</v>
      </c>
      <c r="AP20" s="1" t="s">
        <v>68</v>
      </c>
      <c r="AQ20" s="1" t="s">
        <v>41</v>
      </c>
      <c r="AR20" s="1" t="s">
        <v>42</v>
      </c>
      <c r="AS20" s="1" t="s">
        <v>43</v>
      </c>
      <c r="AT20" s="1" t="s">
        <v>44</v>
      </c>
      <c r="AU20" s="1" t="s">
        <v>69</v>
      </c>
      <c r="AV20" s="1" t="s">
        <v>46</v>
      </c>
      <c r="AW20" s="1" t="s">
        <v>47</v>
      </c>
      <c r="AX20" s="1" t="s">
        <v>48</v>
      </c>
      <c r="AY20" s="1" t="s">
        <v>49</v>
      </c>
      <c r="AZ20" s="1" t="s">
        <v>70</v>
      </c>
      <c r="BA20" s="1" t="s">
        <v>51</v>
      </c>
      <c r="BB20" s="1" t="s">
        <v>52</v>
      </c>
      <c r="BC20" s="1" t="s">
        <v>53</v>
      </c>
      <c r="BD20" s="1" t="s">
        <v>54</v>
      </c>
      <c r="BE20" s="1" t="s">
        <v>71</v>
      </c>
      <c r="BF20" s="1" t="s">
        <v>56</v>
      </c>
      <c r="BG20" s="1" t="s">
        <v>57</v>
      </c>
      <c r="BH20" s="1" t="s">
        <v>58</v>
      </c>
      <c r="BI20" s="1" t="s">
        <v>59</v>
      </c>
      <c r="BJ20" s="1" t="s">
        <v>72</v>
      </c>
      <c r="BK20" t="s">
        <v>73</v>
      </c>
    </row>
    <row r="21" spans="2:63" ht="16" x14ac:dyDescent="0.4">
      <c r="B21" s="3" t="s">
        <v>88</v>
      </c>
    </row>
    <row r="22" spans="2:63" x14ac:dyDescent="0.35">
      <c r="B22" t="s">
        <v>89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18000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18000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18000</v>
      </c>
      <c r="BG22" s="4">
        <v>0</v>
      </c>
      <c r="BH22" s="4">
        <v>0</v>
      </c>
      <c r="BI22" s="4">
        <v>0</v>
      </c>
      <c r="BJ22" s="4">
        <v>108000</v>
      </c>
      <c r="BK22" s="4">
        <f>SUM(C22:BJ22)</f>
        <v>162000</v>
      </c>
    </row>
    <row r="23" spans="2:63" x14ac:dyDescent="0.35">
      <c r="B23" t="s">
        <v>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17000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17000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17000</v>
      </c>
      <c r="BG23" s="4">
        <v>0</v>
      </c>
      <c r="BH23" s="4">
        <v>0</v>
      </c>
      <c r="BI23" s="4">
        <v>0</v>
      </c>
      <c r="BJ23" s="4">
        <v>102000</v>
      </c>
      <c r="BK23" s="4">
        <f t="shared" ref="BK23:BK87" si="4">SUM(C23:BJ23)</f>
        <v>153000</v>
      </c>
    </row>
    <row r="24" spans="2:63" x14ac:dyDescent="0.35">
      <c r="B24" t="s">
        <v>91</v>
      </c>
      <c r="C24" s="4">
        <v>0</v>
      </c>
      <c r="D24" s="4">
        <v>0</v>
      </c>
      <c r="E24" s="4">
        <v>0</v>
      </c>
      <c r="F24" s="4">
        <v>0</v>
      </c>
      <c r="G24" s="4">
        <v>60000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100000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100000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100000</v>
      </c>
      <c r="BI24" s="4">
        <v>0</v>
      </c>
      <c r="BJ24" s="4">
        <v>500000</v>
      </c>
      <c r="BK24" s="4">
        <f t="shared" si="4"/>
        <v>860000</v>
      </c>
    </row>
    <row r="25" spans="2:63" s="24" customFormat="1" x14ac:dyDescent="0.35">
      <c r="B25" s="24" t="s">
        <v>104</v>
      </c>
      <c r="C25" s="14">
        <v>0</v>
      </c>
      <c r="D25" s="25">
        <v>183.6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25236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25236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25236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151416</v>
      </c>
      <c r="BK25" s="14">
        <f t="shared" ref="BK25:BK30" si="5">SUM(C25:BJ25)</f>
        <v>227307.6</v>
      </c>
    </row>
    <row r="26" spans="2:63" s="24" customFormat="1" x14ac:dyDescent="0.35">
      <c r="B26" s="24" t="s">
        <v>115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7295.22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8082.64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70780.14</v>
      </c>
      <c r="BK26" s="14">
        <f t="shared" si="5"/>
        <v>86158</v>
      </c>
    </row>
    <row r="27" spans="2:63" s="24" customFormat="1" x14ac:dyDescent="0.35">
      <c r="B27" s="24" t="s">
        <v>131</v>
      </c>
      <c r="C27" s="14">
        <v>0</v>
      </c>
      <c r="D27" s="25">
        <v>34755.360000000001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79571.72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79647.009999999995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446386.28</v>
      </c>
      <c r="BK27" s="14">
        <f t="shared" si="5"/>
        <v>640360.37</v>
      </c>
    </row>
    <row r="28" spans="2:63" s="24" customFormat="1" x14ac:dyDescent="0.35">
      <c r="B28" s="24" t="s">
        <v>148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1332542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f t="shared" si="5"/>
        <v>1332542</v>
      </c>
    </row>
    <row r="29" spans="2:63" s="24" customFormat="1" x14ac:dyDescent="0.35">
      <c r="B29" s="24" t="s">
        <v>184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1192270.24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f t="shared" si="5"/>
        <v>1192270.24</v>
      </c>
    </row>
    <row r="30" spans="2:63" s="24" customFormat="1" x14ac:dyDescent="0.35">
      <c r="B30" s="24" t="s">
        <v>156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5085.3599999999997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5085.3599999999997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5085.3599999999997</v>
      </c>
      <c r="BH30" s="14">
        <v>0</v>
      </c>
      <c r="BI30" s="14">
        <v>0</v>
      </c>
      <c r="BJ30" s="14">
        <v>25426.799999999999</v>
      </c>
      <c r="BK30" s="14">
        <f t="shared" si="5"/>
        <v>40682.879999999997</v>
      </c>
    </row>
    <row r="31" spans="2:63" x14ac:dyDescent="0.35">
      <c r="B31" t="s">
        <v>92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60000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60000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60000</v>
      </c>
      <c r="BG31" s="4">
        <v>0</v>
      </c>
      <c r="BH31" s="4">
        <v>0</v>
      </c>
      <c r="BI31" s="4">
        <v>0</v>
      </c>
      <c r="BJ31" s="4">
        <v>360000</v>
      </c>
      <c r="BK31" s="4">
        <f t="shared" si="4"/>
        <v>540000</v>
      </c>
    </row>
    <row r="32" spans="2:63" x14ac:dyDescent="0.35">
      <c r="B32" t="s">
        <v>93</v>
      </c>
      <c r="C32" s="4">
        <v>0</v>
      </c>
      <c r="D32" s="4">
        <v>0</v>
      </c>
      <c r="E32" s="4">
        <v>0</v>
      </c>
      <c r="F32" s="4">
        <v>0</v>
      </c>
      <c r="G32" s="4">
        <v>1240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1354.76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1354.76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8128.56</v>
      </c>
      <c r="BK32" s="4">
        <f t="shared" si="4"/>
        <v>12078.080000000002</v>
      </c>
    </row>
    <row r="33" spans="2:63" x14ac:dyDescent="0.35">
      <c r="B33" t="s">
        <v>94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1081.5899999999999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1081.5899999999999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6489.54</v>
      </c>
      <c r="BK33" s="4">
        <f t="shared" si="4"/>
        <v>8652.7199999999993</v>
      </c>
    </row>
    <row r="34" spans="2:63" x14ac:dyDescent="0.35">
      <c r="B34" t="s">
        <v>95</v>
      </c>
      <c r="C34" s="4">
        <v>0</v>
      </c>
      <c r="D34" s="4">
        <v>0</v>
      </c>
      <c r="E34" s="4">
        <v>0</v>
      </c>
      <c r="F34" s="4">
        <v>0</v>
      </c>
      <c r="G34" s="4">
        <v>839.64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1188.1600000000001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1188.1600000000001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7128.96</v>
      </c>
      <c r="BK34" s="4">
        <f t="shared" si="4"/>
        <v>10344.92</v>
      </c>
    </row>
    <row r="35" spans="2:63" x14ac:dyDescent="0.35">
      <c r="B35" t="s">
        <v>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4377.42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4377.42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4377.42</v>
      </c>
      <c r="BG35" s="4">
        <v>0</v>
      </c>
      <c r="BH35" s="4">
        <v>0</v>
      </c>
      <c r="BI35" s="4">
        <v>0</v>
      </c>
      <c r="BJ35" s="4">
        <v>26264.519999999997</v>
      </c>
      <c r="BK35" s="4">
        <f t="shared" si="4"/>
        <v>39396.78</v>
      </c>
    </row>
    <row r="36" spans="2:63" x14ac:dyDescent="0.35">
      <c r="B36" t="s">
        <v>97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162.62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162.62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162.62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975.72</v>
      </c>
      <c r="BK36" s="4">
        <f t="shared" si="4"/>
        <v>1463.58</v>
      </c>
    </row>
    <row r="37" spans="2:63" x14ac:dyDescent="0.35">
      <c r="B37" t="s">
        <v>98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1694.5100000000002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1694.5100000000002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10167.060000000001</v>
      </c>
      <c r="BK37" s="4">
        <f t="shared" si="4"/>
        <v>13556.080000000002</v>
      </c>
    </row>
    <row r="38" spans="2:63" x14ac:dyDescent="0.35">
      <c r="B38" t="s">
        <v>99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9693.42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9693.42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9693.42</v>
      </c>
      <c r="BG38" s="4">
        <v>0</v>
      </c>
      <c r="BH38" s="4">
        <v>0</v>
      </c>
      <c r="BI38" s="4">
        <v>0</v>
      </c>
      <c r="BJ38" s="4">
        <v>58160.51999999999</v>
      </c>
      <c r="BK38" s="4">
        <f t="shared" si="4"/>
        <v>87240.78</v>
      </c>
    </row>
    <row r="39" spans="2:63" x14ac:dyDescent="0.35">
      <c r="B39" t="s">
        <v>100</v>
      </c>
      <c r="C39" s="4">
        <v>0</v>
      </c>
      <c r="D39" s="13">
        <v>335.08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499.34999999999997</v>
      </c>
      <c r="V39" s="4">
        <v>0</v>
      </c>
      <c r="W39" s="4">
        <v>0</v>
      </c>
      <c r="X39" s="4">
        <v>0</v>
      </c>
      <c r="Y39" s="4">
        <v>0</v>
      </c>
      <c r="Z39" s="4">
        <v>335.08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499.34999999999997</v>
      </c>
      <c r="AQ39" s="4">
        <v>0</v>
      </c>
      <c r="AR39" s="4">
        <v>0</v>
      </c>
      <c r="AS39" s="4">
        <v>0</v>
      </c>
      <c r="AT39" s="4">
        <v>0</v>
      </c>
      <c r="AU39" s="4">
        <v>335.08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5006.58</v>
      </c>
      <c r="BK39" s="4">
        <f t="shared" si="4"/>
        <v>7010.5199999999995</v>
      </c>
    </row>
    <row r="40" spans="2:63" x14ac:dyDescent="0.35">
      <c r="B40" t="s">
        <v>101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2176.6999999999998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2176.6999999999998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2176.6999999999998</v>
      </c>
      <c r="BG40" s="4">
        <v>0</v>
      </c>
      <c r="BH40" s="4">
        <v>0</v>
      </c>
      <c r="BI40" s="4">
        <v>0</v>
      </c>
      <c r="BJ40" s="4">
        <v>13060.2</v>
      </c>
      <c r="BK40" s="4">
        <f t="shared" si="4"/>
        <v>19590.3</v>
      </c>
    </row>
    <row r="41" spans="2:63" x14ac:dyDescent="0.35">
      <c r="B41" t="s">
        <v>102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17000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17000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17000</v>
      </c>
      <c r="BG41" s="4">
        <v>0</v>
      </c>
      <c r="BH41" s="4">
        <v>0</v>
      </c>
      <c r="BI41" s="4">
        <v>0</v>
      </c>
      <c r="BJ41" s="4">
        <v>102000</v>
      </c>
      <c r="BK41" s="4">
        <f t="shared" si="4"/>
        <v>153000</v>
      </c>
    </row>
    <row r="42" spans="2:63" x14ac:dyDescent="0.35">
      <c r="B42" t="s">
        <v>103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f t="shared" si="4"/>
        <v>0</v>
      </c>
    </row>
    <row r="43" spans="2:63" x14ac:dyDescent="0.35">
      <c r="B43" t="s">
        <v>105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f t="shared" si="4"/>
        <v>0</v>
      </c>
    </row>
    <row r="44" spans="2:63" x14ac:dyDescent="0.35">
      <c r="B44" t="s">
        <v>106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10000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10000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10000</v>
      </c>
      <c r="BG44" s="4">
        <v>0</v>
      </c>
      <c r="BH44" s="4">
        <v>0</v>
      </c>
      <c r="BI44" s="4">
        <v>0</v>
      </c>
      <c r="BJ44" s="4">
        <v>60000</v>
      </c>
      <c r="BK44" s="4">
        <f t="shared" si="4"/>
        <v>90000</v>
      </c>
    </row>
    <row r="45" spans="2:63" x14ac:dyDescent="0.35">
      <c r="B45" t="s">
        <v>107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13300.14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f t="shared" si="4"/>
        <v>13300.14</v>
      </c>
    </row>
    <row r="46" spans="2:63" x14ac:dyDescent="0.35">
      <c r="B46" t="s">
        <v>108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20560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f t="shared" si="4"/>
        <v>20560</v>
      </c>
    </row>
    <row r="47" spans="2:63" x14ac:dyDescent="0.35">
      <c r="B47" t="s">
        <v>109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2617.7999999999997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2637.83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f t="shared" si="4"/>
        <v>5255.6299999999992</v>
      </c>
    </row>
    <row r="48" spans="2:63" x14ac:dyDescent="0.35">
      <c r="B48" t="s">
        <v>110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60000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60000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60000</v>
      </c>
      <c r="BG48" s="4">
        <v>0</v>
      </c>
      <c r="BH48" s="4">
        <v>0</v>
      </c>
      <c r="BI48" s="4">
        <v>0</v>
      </c>
      <c r="BJ48" s="4">
        <v>360000</v>
      </c>
      <c r="BK48" s="4">
        <f t="shared" si="4"/>
        <v>540000</v>
      </c>
    </row>
    <row r="49" spans="2:63" x14ac:dyDescent="0.35">
      <c r="B49" t="s">
        <v>111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361.93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f t="shared" si="4"/>
        <v>361.93</v>
      </c>
    </row>
    <row r="50" spans="2:63" x14ac:dyDescent="0.35">
      <c r="B50" t="s">
        <v>112</v>
      </c>
      <c r="C50" s="4">
        <v>0</v>
      </c>
      <c r="D50" s="4">
        <v>0</v>
      </c>
      <c r="E50" s="4">
        <v>0</v>
      </c>
      <c r="F50" s="4">
        <v>0</v>
      </c>
      <c r="G50" s="4">
        <v>6291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6291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6291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37746</v>
      </c>
      <c r="BK50" s="4">
        <f t="shared" si="4"/>
        <v>56619</v>
      </c>
    </row>
    <row r="51" spans="2:63" x14ac:dyDescent="0.35">
      <c r="B51" t="s">
        <v>113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14500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14500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14500</v>
      </c>
      <c r="BG51" s="4">
        <v>0</v>
      </c>
      <c r="BH51" s="4">
        <v>0</v>
      </c>
      <c r="BI51" s="4">
        <v>0</v>
      </c>
      <c r="BJ51" s="4">
        <v>87000</v>
      </c>
      <c r="BK51" s="4">
        <f t="shared" si="4"/>
        <v>130500</v>
      </c>
    </row>
    <row r="52" spans="2:63" x14ac:dyDescent="0.35">
      <c r="B52" t="s">
        <v>114</v>
      </c>
      <c r="C52" s="4">
        <v>0</v>
      </c>
      <c r="D52" s="13">
        <v>1364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f t="shared" si="4"/>
        <v>1364</v>
      </c>
    </row>
    <row r="53" spans="2:63" x14ac:dyDescent="0.35">
      <c r="B53" t="s">
        <v>116</v>
      </c>
      <c r="C53" s="4">
        <v>0</v>
      </c>
      <c r="D53" s="4">
        <v>0</v>
      </c>
      <c r="E53" s="4">
        <v>0</v>
      </c>
      <c r="F53" s="13">
        <v>1544.05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f t="shared" si="4"/>
        <v>1544.05</v>
      </c>
    </row>
    <row r="54" spans="2:63" x14ac:dyDescent="0.35">
      <c r="B54" t="s">
        <v>117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18000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18000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18000</v>
      </c>
      <c r="BG54" s="4">
        <v>0</v>
      </c>
      <c r="BH54" s="4">
        <v>0</v>
      </c>
      <c r="BI54" s="4">
        <v>0</v>
      </c>
      <c r="BJ54" s="4">
        <v>108000</v>
      </c>
      <c r="BK54" s="4">
        <f t="shared" si="4"/>
        <v>162000</v>
      </c>
    </row>
    <row r="55" spans="2:63" x14ac:dyDescent="0.35">
      <c r="B55" t="s">
        <v>118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830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830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830</v>
      </c>
      <c r="BI55" s="4">
        <v>0</v>
      </c>
      <c r="BJ55" s="4">
        <v>4150</v>
      </c>
      <c r="BK55" s="4">
        <f t="shared" si="4"/>
        <v>6640</v>
      </c>
    </row>
    <row r="56" spans="2:63" x14ac:dyDescent="0.35">
      <c r="B56" t="s">
        <v>119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8000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8000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8000</v>
      </c>
      <c r="BG56" s="4">
        <v>0</v>
      </c>
      <c r="BH56" s="4">
        <v>0</v>
      </c>
      <c r="BI56" s="4">
        <v>0</v>
      </c>
      <c r="BJ56" s="4">
        <v>48000</v>
      </c>
      <c r="BK56" s="4">
        <f t="shared" si="4"/>
        <v>72000</v>
      </c>
    </row>
    <row r="57" spans="2:63" x14ac:dyDescent="0.35">
      <c r="B57" t="s">
        <v>120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11000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11000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11000</v>
      </c>
      <c r="BG57" s="4">
        <v>0</v>
      </c>
      <c r="BH57" s="4">
        <v>0</v>
      </c>
      <c r="BI57" s="4">
        <v>0</v>
      </c>
      <c r="BJ57" s="4">
        <v>66000</v>
      </c>
      <c r="BK57" s="4">
        <f t="shared" si="4"/>
        <v>99000</v>
      </c>
    </row>
    <row r="58" spans="2:63" x14ac:dyDescent="0.35">
      <c r="B58" t="s">
        <v>121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27654.9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f t="shared" si="4"/>
        <v>27654.9</v>
      </c>
    </row>
    <row r="59" spans="2:63" x14ac:dyDescent="0.35">
      <c r="B59" t="s">
        <v>122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f t="shared" si="4"/>
        <v>0</v>
      </c>
    </row>
    <row r="60" spans="2:63" x14ac:dyDescent="0.35">
      <c r="B60" t="s">
        <v>123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1675.15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1675.15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1675.15</v>
      </c>
      <c r="BG60" s="4">
        <v>0</v>
      </c>
      <c r="BH60" s="4">
        <v>0</v>
      </c>
      <c r="BI60" s="4">
        <v>0</v>
      </c>
      <c r="BJ60" s="4">
        <v>10050.9</v>
      </c>
      <c r="BK60" s="4">
        <f t="shared" si="4"/>
        <v>15076.35</v>
      </c>
    </row>
    <row r="61" spans="2:63" x14ac:dyDescent="0.35">
      <c r="B61" t="s">
        <v>125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19000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19000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19000</v>
      </c>
      <c r="BG61" s="4">
        <v>0</v>
      </c>
      <c r="BH61" s="4">
        <v>0</v>
      </c>
      <c r="BI61" s="4">
        <v>0</v>
      </c>
      <c r="BJ61" s="4">
        <v>114000</v>
      </c>
      <c r="BK61" s="4">
        <f t="shared" si="4"/>
        <v>171000</v>
      </c>
    </row>
    <row r="62" spans="2:63" x14ac:dyDescent="0.35">
      <c r="B62" t="s">
        <v>126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12000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f t="shared" si="4"/>
        <v>12000</v>
      </c>
    </row>
    <row r="63" spans="2:63" x14ac:dyDescent="0.35">
      <c r="B63" t="s">
        <v>127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17000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17000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17000</v>
      </c>
      <c r="BG63" s="4">
        <v>0</v>
      </c>
      <c r="BH63" s="4">
        <v>0</v>
      </c>
      <c r="BI63" s="4">
        <v>0</v>
      </c>
      <c r="BJ63" s="4">
        <v>102000</v>
      </c>
      <c r="BK63" s="4">
        <f t="shared" si="4"/>
        <v>153000</v>
      </c>
    </row>
    <row r="64" spans="2:63" x14ac:dyDescent="0.35">
      <c r="B64" t="s">
        <v>128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18213.47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100000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18213.47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100000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18213.47</v>
      </c>
      <c r="BG64" s="4">
        <v>0</v>
      </c>
      <c r="BH64" s="4">
        <v>0</v>
      </c>
      <c r="BI64" s="4">
        <v>0</v>
      </c>
      <c r="BJ64" s="4">
        <v>704347.40000000014</v>
      </c>
      <c r="BK64" s="4">
        <f t="shared" si="4"/>
        <v>958987.81000000017</v>
      </c>
    </row>
    <row r="65" spans="2:63" x14ac:dyDescent="0.35">
      <c r="B65" t="s">
        <v>129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15000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15000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15000</v>
      </c>
      <c r="BG65" s="4">
        <v>0</v>
      </c>
      <c r="BH65" s="4">
        <v>0</v>
      </c>
      <c r="BI65" s="4">
        <v>0</v>
      </c>
      <c r="BJ65" s="4">
        <v>90000</v>
      </c>
      <c r="BK65" s="4">
        <f t="shared" si="4"/>
        <v>135000</v>
      </c>
    </row>
    <row r="66" spans="2:63" x14ac:dyDescent="0.35">
      <c r="B66" t="s">
        <v>130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f t="shared" si="4"/>
        <v>0</v>
      </c>
    </row>
    <row r="67" spans="2:63" x14ac:dyDescent="0.35">
      <c r="B67" t="s">
        <v>132</v>
      </c>
      <c r="C67" s="4">
        <v>0</v>
      </c>
      <c r="D67" s="4">
        <v>0</v>
      </c>
      <c r="E67" s="4">
        <v>0</v>
      </c>
      <c r="F67" s="13">
        <v>1072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f t="shared" si="4"/>
        <v>1072</v>
      </c>
    </row>
    <row r="68" spans="2:63" x14ac:dyDescent="0.35">
      <c r="B68" t="s">
        <v>133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877.8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877.8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877.8</v>
      </c>
      <c r="BG68" s="4">
        <v>0</v>
      </c>
      <c r="BH68" s="4">
        <v>0</v>
      </c>
      <c r="BI68" s="4">
        <v>0</v>
      </c>
      <c r="BJ68" s="4">
        <v>5266.8</v>
      </c>
      <c r="BK68" s="4">
        <f t="shared" si="4"/>
        <v>7900.2</v>
      </c>
    </row>
    <row r="69" spans="2:63" x14ac:dyDescent="0.35">
      <c r="B69" t="s">
        <v>134</v>
      </c>
      <c r="C69" s="13">
        <v>3935.4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60000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60000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60000</v>
      </c>
      <c r="BG69" s="4">
        <v>0</v>
      </c>
      <c r="BH69" s="4">
        <v>0</v>
      </c>
      <c r="BI69" s="4">
        <v>0</v>
      </c>
      <c r="BJ69" s="4">
        <v>360000</v>
      </c>
      <c r="BK69" s="4">
        <f t="shared" si="4"/>
        <v>543935.4</v>
      </c>
    </row>
    <row r="70" spans="2:63" x14ac:dyDescent="0.35">
      <c r="B70" t="s">
        <v>135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15000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15000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15000</v>
      </c>
      <c r="BG70" s="4">
        <v>0</v>
      </c>
      <c r="BH70" s="4">
        <v>0</v>
      </c>
      <c r="BI70" s="4">
        <v>0</v>
      </c>
      <c r="BJ70" s="4">
        <v>90000</v>
      </c>
      <c r="BK70" s="4">
        <f t="shared" si="4"/>
        <v>135000</v>
      </c>
    </row>
    <row r="71" spans="2:63" x14ac:dyDescent="0.35">
      <c r="B71" t="s">
        <v>136</v>
      </c>
      <c r="C71" s="4">
        <v>0</v>
      </c>
      <c r="D71" s="4">
        <v>0</v>
      </c>
      <c r="E71" s="4">
        <v>0</v>
      </c>
      <c r="F71" s="4">
        <v>0</v>
      </c>
      <c r="G71" s="4">
        <v>10864.64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10458.349999999999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10458.349999999999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62750.100000000013</v>
      </c>
      <c r="BK71" s="4">
        <f t="shared" si="4"/>
        <v>94531.44</v>
      </c>
    </row>
    <row r="72" spans="2:63" x14ac:dyDescent="0.35">
      <c r="B72" t="s">
        <v>137</v>
      </c>
      <c r="C72" s="4">
        <v>0</v>
      </c>
      <c r="D72" s="4">
        <v>0</v>
      </c>
      <c r="E72" s="4">
        <v>0</v>
      </c>
      <c r="F72" s="13">
        <v>32550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f t="shared" si="4"/>
        <v>32550</v>
      </c>
    </row>
    <row r="73" spans="2:63" x14ac:dyDescent="0.35">
      <c r="B73" t="s">
        <v>138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13055.31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13055.31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13055.31</v>
      </c>
      <c r="BG73" s="4">
        <v>0</v>
      </c>
      <c r="BH73" s="4">
        <v>0</v>
      </c>
      <c r="BI73" s="4">
        <v>0</v>
      </c>
      <c r="BJ73" s="4">
        <v>78331.859999999986</v>
      </c>
      <c r="BK73" s="4">
        <f t="shared" si="4"/>
        <v>117497.78999999998</v>
      </c>
    </row>
    <row r="74" spans="2:63" x14ac:dyDescent="0.35">
      <c r="B74" t="s">
        <v>139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7000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7000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42000</v>
      </c>
      <c r="BK74" s="4">
        <f t="shared" si="4"/>
        <v>56000</v>
      </c>
    </row>
    <row r="75" spans="2:63" x14ac:dyDescent="0.35">
      <c r="B75" t="s">
        <v>140</v>
      </c>
      <c r="C75" s="13">
        <v>2081.6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f t="shared" si="4"/>
        <v>2081.6</v>
      </c>
    </row>
    <row r="76" spans="2:63" x14ac:dyDescent="0.35">
      <c r="B76" t="s">
        <v>141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f t="shared" si="4"/>
        <v>0</v>
      </c>
    </row>
    <row r="77" spans="2:63" x14ac:dyDescent="0.35">
      <c r="B77" t="s">
        <v>142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1397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1397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1397</v>
      </c>
      <c r="BG77" s="4">
        <v>0</v>
      </c>
      <c r="BH77" s="4">
        <v>0</v>
      </c>
      <c r="BI77" s="4">
        <v>0</v>
      </c>
      <c r="BJ77" s="4">
        <v>8382</v>
      </c>
      <c r="BK77" s="4">
        <f t="shared" si="4"/>
        <v>12573</v>
      </c>
    </row>
    <row r="78" spans="2:63" x14ac:dyDescent="0.35">
      <c r="B78" t="s">
        <v>143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1375.9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1375.9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1375.9</v>
      </c>
      <c r="BG78" s="4">
        <v>0</v>
      </c>
      <c r="BH78" s="4">
        <v>0</v>
      </c>
      <c r="BI78" s="4">
        <v>0</v>
      </c>
      <c r="BJ78" s="4">
        <v>8255.4</v>
      </c>
      <c r="BK78" s="4">
        <f t="shared" si="4"/>
        <v>12383.1</v>
      </c>
    </row>
    <row r="79" spans="2:63" x14ac:dyDescent="0.35">
      <c r="B79" t="s">
        <v>144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2955.4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2955.4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2955.4</v>
      </c>
      <c r="BG79" s="4">
        <v>0</v>
      </c>
      <c r="BH79" s="4">
        <v>0</v>
      </c>
      <c r="BI79" s="4">
        <v>0</v>
      </c>
      <c r="BJ79" s="4">
        <v>17732.400000000001</v>
      </c>
      <c r="BK79" s="4">
        <f t="shared" si="4"/>
        <v>26598.600000000002</v>
      </c>
    </row>
    <row r="80" spans="2:63" x14ac:dyDescent="0.35">
      <c r="B80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15000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15000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15000</v>
      </c>
      <c r="BG80" s="4">
        <v>0</v>
      </c>
      <c r="BH80" s="4">
        <v>0</v>
      </c>
      <c r="BI80" s="4">
        <v>0</v>
      </c>
      <c r="BJ80" s="4">
        <v>90000</v>
      </c>
      <c r="BK80" s="4">
        <f t="shared" si="4"/>
        <v>135000</v>
      </c>
    </row>
    <row r="81" spans="2:63" x14ac:dyDescent="0.35">
      <c r="B81" t="s">
        <v>146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13000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13000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f t="shared" si="4"/>
        <v>26000</v>
      </c>
    </row>
    <row r="82" spans="2:63" x14ac:dyDescent="0.35">
      <c r="B82" t="s">
        <v>147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3393.88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3393.88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20363.280000000002</v>
      </c>
      <c r="BK82" s="4">
        <f t="shared" si="4"/>
        <v>27151.040000000001</v>
      </c>
    </row>
    <row r="83" spans="2:63" x14ac:dyDescent="0.35">
      <c r="B83" t="s">
        <v>149</v>
      </c>
      <c r="C83" s="4">
        <v>0</v>
      </c>
      <c r="D83" s="4">
        <v>0</v>
      </c>
      <c r="E83" s="4">
        <v>0</v>
      </c>
      <c r="F83" s="4">
        <v>0</v>
      </c>
      <c r="G83" s="4">
        <v>3803.26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3752.52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3752.52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22515.119999999999</v>
      </c>
      <c r="BK83" s="4">
        <f t="shared" si="4"/>
        <v>33823.42</v>
      </c>
    </row>
    <row r="84" spans="2:63" x14ac:dyDescent="0.35">
      <c r="B84" t="s">
        <v>150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16333.33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19000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19000</v>
      </c>
      <c r="BG84" s="4">
        <v>0</v>
      </c>
      <c r="BH84" s="4">
        <v>0</v>
      </c>
      <c r="BI84" s="4">
        <v>0</v>
      </c>
      <c r="BJ84" s="4">
        <v>114000</v>
      </c>
      <c r="BK84" s="4">
        <f t="shared" si="4"/>
        <v>168333.33000000002</v>
      </c>
    </row>
    <row r="85" spans="2:63" x14ac:dyDescent="0.35">
      <c r="B85" t="s">
        <v>151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329.8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329.8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1978.8</v>
      </c>
      <c r="BK85" s="4">
        <f t="shared" si="4"/>
        <v>2638.4</v>
      </c>
    </row>
    <row r="86" spans="2:63" x14ac:dyDescent="0.35">
      <c r="B86" t="s">
        <v>152</v>
      </c>
      <c r="C86" s="4">
        <v>0</v>
      </c>
      <c r="D86" s="13">
        <v>646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f t="shared" si="4"/>
        <v>646</v>
      </c>
    </row>
    <row r="87" spans="2:63" x14ac:dyDescent="0.35">
      <c r="B87" t="s">
        <v>153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341.28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341.28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341.28</v>
      </c>
      <c r="BI87" s="4">
        <v>0</v>
      </c>
      <c r="BJ87" s="4">
        <v>1706.3999999999999</v>
      </c>
      <c r="BK87" s="4">
        <f t="shared" si="4"/>
        <v>2730.24</v>
      </c>
    </row>
    <row r="88" spans="2:63" x14ac:dyDescent="0.35">
      <c r="B88" t="s">
        <v>154</v>
      </c>
      <c r="C88" s="4">
        <v>0</v>
      </c>
      <c r="D88" s="13">
        <v>1472.84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1472.84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1472.84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8837.0399999999991</v>
      </c>
      <c r="BK88" s="4">
        <f t="shared" ref="BK88:BK149" si="6">SUM(C88:BJ88)</f>
        <v>13255.559999999998</v>
      </c>
    </row>
    <row r="89" spans="2:63" x14ac:dyDescent="0.35">
      <c r="B89" t="s">
        <v>155</v>
      </c>
      <c r="C89" s="4">
        <v>0</v>
      </c>
      <c r="D89" s="13">
        <v>250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250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250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1500</v>
      </c>
      <c r="BK89" s="4">
        <f t="shared" si="6"/>
        <v>2250</v>
      </c>
    </row>
    <row r="90" spans="2:63" x14ac:dyDescent="0.35">
      <c r="B90" t="s">
        <v>157</v>
      </c>
      <c r="C90" s="4">
        <v>0</v>
      </c>
      <c r="D90" s="4">
        <v>0</v>
      </c>
      <c r="E90" s="4">
        <v>0</v>
      </c>
      <c r="F90" s="13">
        <v>163163.57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116644.12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f t="shared" si="6"/>
        <v>279807.69</v>
      </c>
    </row>
    <row r="91" spans="2:63" x14ac:dyDescent="0.35">
      <c r="B91" t="s">
        <v>158</v>
      </c>
      <c r="C91" s="4">
        <v>0</v>
      </c>
      <c r="D91" s="4">
        <v>0</v>
      </c>
      <c r="E91" s="4">
        <v>0</v>
      </c>
      <c r="F91" s="4">
        <v>0</v>
      </c>
      <c r="G91" s="4">
        <v>7137.4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7137.4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7137.4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42824.4</v>
      </c>
      <c r="BK91" s="4">
        <f t="shared" si="6"/>
        <v>64236.6</v>
      </c>
    </row>
    <row r="92" spans="2:63" x14ac:dyDescent="0.35">
      <c r="B92" t="s">
        <v>159</v>
      </c>
      <c r="C92" s="4">
        <v>0</v>
      </c>
      <c r="D92" s="4">
        <v>0</v>
      </c>
      <c r="E92" s="4">
        <v>0</v>
      </c>
      <c r="F92" s="4">
        <v>0</v>
      </c>
      <c r="G92" s="4">
        <v>250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250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250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1500</v>
      </c>
      <c r="BK92" s="4">
        <f t="shared" si="6"/>
        <v>2250</v>
      </c>
    </row>
    <row r="93" spans="2:63" x14ac:dyDescent="0.35">
      <c r="B93" t="s">
        <v>160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18000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18000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18000</v>
      </c>
      <c r="BG93" s="4">
        <v>0</v>
      </c>
      <c r="BH93" s="4">
        <v>0</v>
      </c>
      <c r="BI93" s="4">
        <v>0</v>
      </c>
      <c r="BJ93" s="4">
        <v>108000</v>
      </c>
      <c r="BK93" s="4">
        <f t="shared" si="6"/>
        <v>162000</v>
      </c>
    </row>
    <row r="94" spans="2:63" x14ac:dyDescent="0.35">
      <c r="B94" t="s">
        <v>161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3200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f t="shared" si="6"/>
        <v>3200</v>
      </c>
    </row>
    <row r="95" spans="2:63" x14ac:dyDescent="0.35">
      <c r="B95" t="s">
        <v>162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14000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14000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14000</v>
      </c>
      <c r="BG95" s="4">
        <v>0</v>
      </c>
      <c r="BH95" s="4">
        <v>0</v>
      </c>
      <c r="BI95" s="4">
        <v>0</v>
      </c>
      <c r="BJ95" s="4">
        <v>84000</v>
      </c>
      <c r="BK95" s="4">
        <f t="shared" si="6"/>
        <v>126000</v>
      </c>
    </row>
    <row r="96" spans="2:63" x14ac:dyDescent="0.35">
      <c r="B96" t="s">
        <v>163</v>
      </c>
      <c r="C96" s="4">
        <v>0</v>
      </c>
      <c r="D96" s="4">
        <v>0</v>
      </c>
      <c r="E96" s="4">
        <v>0</v>
      </c>
      <c r="F96" s="4">
        <v>0</v>
      </c>
      <c r="G96" s="4">
        <v>12000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12000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12000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72000</v>
      </c>
      <c r="BK96" s="4">
        <f t="shared" si="6"/>
        <v>108000</v>
      </c>
    </row>
    <row r="97" spans="2:63" x14ac:dyDescent="0.35">
      <c r="B97" t="s">
        <v>164</v>
      </c>
      <c r="C97" s="4">
        <v>0</v>
      </c>
      <c r="D97" s="4">
        <v>0</v>
      </c>
      <c r="E97" s="4">
        <v>0</v>
      </c>
      <c r="F97" s="4">
        <v>0</v>
      </c>
      <c r="G97" s="4">
        <v>860.89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860.89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860.89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5165.34</v>
      </c>
      <c r="BK97" s="4">
        <f t="shared" si="6"/>
        <v>7748.01</v>
      </c>
    </row>
    <row r="98" spans="2:63" x14ac:dyDescent="0.35">
      <c r="B98" t="s">
        <v>165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14000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14000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14000</v>
      </c>
      <c r="BG98" s="4">
        <v>0</v>
      </c>
      <c r="BH98" s="4">
        <v>0</v>
      </c>
      <c r="BI98" s="4">
        <v>0</v>
      </c>
      <c r="BJ98" s="4">
        <v>84000</v>
      </c>
      <c r="BK98" s="4">
        <f t="shared" si="6"/>
        <v>126000</v>
      </c>
    </row>
    <row r="99" spans="2:63" x14ac:dyDescent="0.35">
      <c r="B99" t="s">
        <v>166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11000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11000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11000</v>
      </c>
      <c r="BG99" s="4">
        <v>0</v>
      </c>
      <c r="BH99" s="4">
        <v>0</v>
      </c>
      <c r="BI99" s="4">
        <v>0</v>
      </c>
      <c r="BJ99" s="4">
        <v>66000</v>
      </c>
      <c r="BK99" s="4">
        <f t="shared" si="6"/>
        <v>99000</v>
      </c>
    </row>
    <row r="100" spans="2:63" x14ac:dyDescent="0.35">
      <c r="B100" t="s">
        <v>167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21000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21000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21000</v>
      </c>
      <c r="BG100" s="4">
        <v>0</v>
      </c>
      <c r="BH100" s="4">
        <v>0</v>
      </c>
      <c r="BI100" s="4">
        <v>0</v>
      </c>
      <c r="BJ100" s="4">
        <v>126000</v>
      </c>
      <c r="BK100" s="4">
        <f t="shared" si="6"/>
        <v>189000</v>
      </c>
    </row>
    <row r="101" spans="2:63" x14ac:dyDescent="0.35">
      <c r="B101" t="s">
        <v>168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8268.75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8268.75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49612.5</v>
      </c>
      <c r="BK101" s="4">
        <f t="shared" si="6"/>
        <v>66150</v>
      </c>
    </row>
    <row r="102" spans="2:63" x14ac:dyDescent="0.35">
      <c r="B102" t="s">
        <v>169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7000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7000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7000</v>
      </c>
      <c r="BG102" s="4">
        <v>0</v>
      </c>
      <c r="BH102" s="4">
        <v>0</v>
      </c>
      <c r="BI102" s="4">
        <v>0</v>
      </c>
      <c r="BJ102" s="4">
        <v>42000</v>
      </c>
      <c r="BK102" s="4">
        <f t="shared" si="6"/>
        <v>63000</v>
      </c>
    </row>
    <row r="103" spans="2:63" x14ac:dyDescent="0.35">
      <c r="B103" t="s">
        <v>170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63005.81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63005.81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378034.86</v>
      </c>
      <c r="BK103" s="4">
        <f t="shared" si="6"/>
        <v>504046.48</v>
      </c>
    </row>
    <row r="104" spans="2:63" x14ac:dyDescent="0.35">
      <c r="B104" t="s">
        <v>171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12000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12000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12000</v>
      </c>
      <c r="BG104" s="4">
        <v>0</v>
      </c>
      <c r="BH104" s="4">
        <v>0</v>
      </c>
      <c r="BI104" s="4">
        <v>0</v>
      </c>
      <c r="BJ104" s="4">
        <v>72000</v>
      </c>
      <c r="BK104" s="4">
        <f t="shared" si="6"/>
        <v>108000</v>
      </c>
    </row>
    <row r="105" spans="2:63" x14ac:dyDescent="0.35">
      <c r="B105" t="s">
        <v>172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13000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13000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13000</v>
      </c>
      <c r="BG105" s="4">
        <v>0</v>
      </c>
      <c r="BH105" s="4">
        <v>0</v>
      </c>
      <c r="BI105" s="4">
        <v>0</v>
      </c>
      <c r="BJ105" s="4">
        <v>78000</v>
      </c>
      <c r="BK105" s="4">
        <f t="shared" si="6"/>
        <v>117000</v>
      </c>
    </row>
    <row r="106" spans="2:63" x14ac:dyDescent="0.35">
      <c r="B106" t="s">
        <v>173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7500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7500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7500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45000</v>
      </c>
      <c r="BK106" s="4">
        <f t="shared" si="6"/>
        <v>67500</v>
      </c>
    </row>
    <row r="107" spans="2:63" x14ac:dyDescent="0.35">
      <c r="B107" t="s">
        <v>174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18000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18000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18000</v>
      </c>
      <c r="BG107" s="4">
        <v>0</v>
      </c>
      <c r="BH107" s="4">
        <v>0</v>
      </c>
      <c r="BI107" s="4">
        <v>0</v>
      </c>
      <c r="BJ107" s="4">
        <v>108000</v>
      </c>
      <c r="BK107" s="4">
        <f t="shared" si="6"/>
        <v>162000</v>
      </c>
    </row>
    <row r="108" spans="2:63" x14ac:dyDescent="0.35">
      <c r="B108" t="s">
        <v>175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f t="shared" si="6"/>
        <v>0</v>
      </c>
    </row>
    <row r="109" spans="2:63" x14ac:dyDescent="0.35">
      <c r="B109" t="s">
        <v>176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3000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f t="shared" si="6"/>
        <v>3000</v>
      </c>
    </row>
    <row r="110" spans="2:63" x14ac:dyDescent="0.35">
      <c r="B110" t="s">
        <v>177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10000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10000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10000</v>
      </c>
      <c r="BG110" s="4">
        <v>0</v>
      </c>
      <c r="BH110" s="4">
        <v>0</v>
      </c>
      <c r="BI110" s="4">
        <v>0</v>
      </c>
      <c r="BJ110" s="4">
        <v>60000</v>
      </c>
      <c r="BK110" s="4">
        <f t="shared" si="6"/>
        <v>90000</v>
      </c>
    </row>
    <row r="111" spans="2:63" x14ac:dyDescent="0.35">
      <c r="B111" t="s">
        <v>178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f t="shared" si="6"/>
        <v>0</v>
      </c>
    </row>
    <row r="112" spans="2:63" x14ac:dyDescent="0.35">
      <c r="B112" t="s">
        <v>179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14000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14000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14000</v>
      </c>
      <c r="BG112" s="4">
        <v>0</v>
      </c>
      <c r="BH112" s="4">
        <v>0</v>
      </c>
      <c r="BI112" s="4">
        <v>0</v>
      </c>
      <c r="BJ112" s="4">
        <v>84000</v>
      </c>
      <c r="BK112" s="4">
        <f t="shared" si="6"/>
        <v>126000</v>
      </c>
    </row>
    <row r="113" spans="2:63" x14ac:dyDescent="0.35">
      <c r="B113" t="s">
        <v>180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5792.49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5792.49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34754.939999999995</v>
      </c>
      <c r="BK113" s="4">
        <f t="shared" si="6"/>
        <v>46339.92</v>
      </c>
    </row>
    <row r="114" spans="2:63" x14ac:dyDescent="0.35">
      <c r="B114" t="s">
        <v>181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3830.1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3830.1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22980.6</v>
      </c>
      <c r="BK114" s="4">
        <f t="shared" si="6"/>
        <v>30640.799999999999</v>
      </c>
    </row>
    <row r="115" spans="2:63" x14ac:dyDescent="0.35">
      <c r="B115" t="s">
        <v>182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3000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3000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18000</v>
      </c>
      <c r="BK115" s="4">
        <f t="shared" si="6"/>
        <v>24000</v>
      </c>
    </row>
    <row r="116" spans="2:63" x14ac:dyDescent="0.35">
      <c r="B116" t="s">
        <v>183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4500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4500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4500</v>
      </c>
      <c r="BG116" s="4">
        <v>0</v>
      </c>
      <c r="BH116" s="4">
        <v>0</v>
      </c>
      <c r="BI116" s="4">
        <v>0</v>
      </c>
      <c r="BJ116" s="4">
        <v>27000</v>
      </c>
      <c r="BK116" s="4">
        <f t="shared" si="6"/>
        <v>40500</v>
      </c>
    </row>
    <row r="117" spans="2:63" x14ac:dyDescent="0.35">
      <c r="B117" t="s">
        <v>185</v>
      </c>
      <c r="C117" s="13">
        <v>20000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f t="shared" si="6"/>
        <v>20000</v>
      </c>
    </row>
    <row r="118" spans="2:63" x14ac:dyDescent="0.35">
      <c r="B118" t="s">
        <v>186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10000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10000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10000</v>
      </c>
      <c r="BG118" s="4">
        <v>0</v>
      </c>
      <c r="BH118" s="4">
        <v>0</v>
      </c>
      <c r="BI118" s="4">
        <v>0</v>
      </c>
      <c r="BJ118" s="4">
        <v>60000</v>
      </c>
      <c r="BK118" s="4">
        <f t="shared" si="6"/>
        <v>90000</v>
      </c>
    </row>
    <row r="119" spans="2:63" x14ac:dyDescent="0.35">
      <c r="B119" t="s">
        <v>187</v>
      </c>
      <c r="C119" s="4">
        <v>0</v>
      </c>
      <c r="D119" s="4">
        <v>0</v>
      </c>
      <c r="E119" s="4">
        <v>0</v>
      </c>
      <c r="F119" s="4">
        <v>0</v>
      </c>
      <c r="G119" s="4">
        <v>4202.13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4202.13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4202.13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25212.780000000002</v>
      </c>
      <c r="BK119" s="4">
        <f t="shared" si="6"/>
        <v>37819.17</v>
      </c>
    </row>
    <row r="120" spans="2:63" x14ac:dyDescent="0.35">
      <c r="B120" t="s">
        <v>188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320.38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320.38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1601.9</v>
      </c>
      <c r="BK120" s="4">
        <f t="shared" si="6"/>
        <v>2242.66</v>
      </c>
    </row>
    <row r="121" spans="2:63" x14ac:dyDescent="0.35">
      <c r="B121" t="s">
        <v>189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2970.33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2970.33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2970.33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17821.98</v>
      </c>
      <c r="BK121" s="4">
        <f t="shared" si="6"/>
        <v>26732.97</v>
      </c>
    </row>
    <row r="122" spans="2:63" x14ac:dyDescent="0.35">
      <c r="B122" t="s">
        <v>190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11000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11000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11000</v>
      </c>
      <c r="BG122" s="4">
        <v>0</v>
      </c>
      <c r="BH122" s="4">
        <v>0</v>
      </c>
      <c r="BI122" s="4">
        <v>0</v>
      </c>
      <c r="BJ122" s="4">
        <v>66000</v>
      </c>
      <c r="BK122" s="4">
        <f t="shared" si="6"/>
        <v>99000</v>
      </c>
    </row>
    <row r="123" spans="2:63" x14ac:dyDescent="0.35">
      <c r="B123" t="s">
        <v>191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f t="shared" si="6"/>
        <v>0</v>
      </c>
    </row>
    <row r="124" spans="2:63" x14ac:dyDescent="0.35">
      <c r="B124" t="s">
        <v>192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f t="shared" si="6"/>
        <v>0</v>
      </c>
    </row>
    <row r="125" spans="2:63" x14ac:dyDescent="0.35">
      <c r="B125" t="s">
        <v>193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16000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16000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16000</v>
      </c>
      <c r="BG125" s="4">
        <v>0</v>
      </c>
      <c r="BH125" s="4">
        <v>0</v>
      </c>
      <c r="BI125" s="4">
        <v>0</v>
      </c>
      <c r="BJ125" s="4">
        <v>96000</v>
      </c>
      <c r="BK125" s="4">
        <f t="shared" si="6"/>
        <v>144000</v>
      </c>
    </row>
    <row r="126" spans="2:63" x14ac:dyDescent="0.35">
      <c r="B126" t="s">
        <v>194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3565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3565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3565</v>
      </c>
      <c r="BF126" s="4">
        <v>0</v>
      </c>
      <c r="BG126" s="4">
        <v>0</v>
      </c>
      <c r="BH126" s="4">
        <v>0</v>
      </c>
      <c r="BI126" s="4">
        <v>0</v>
      </c>
      <c r="BJ126" s="4">
        <v>17825</v>
      </c>
      <c r="BK126" s="4">
        <f t="shared" si="6"/>
        <v>28520</v>
      </c>
    </row>
    <row r="127" spans="2:63" x14ac:dyDescent="0.35">
      <c r="B127" t="s">
        <v>195</v>
      </c>
      <c r="C127" s="4">
        <v>0</v>
      </c>
      <c r="D127" s="4">
        <v>0</v>
      </c>
      <c r="E127" s="4">
        <v>0</v>
      </c>
      <c r="F127" s="13">
        <v>3800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f t="shared" si="6"/>
        <v>3800</v>
      </c>
    </row>
    <row r="128" spans="2:63" x14ac:dyDescent="0.35">
      <c r="B128" t="s">
        <v>196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100000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f t="shared" si="6"/>
        <v>100000</v>
      </c>
    </row>
    <row r="129" spans="2:63" x14ac:dyDescent="0.35">
      <c r="B129" t="s">
        <v>197</v>
      </c>
      <c r="C129" s="4">
        <v>0</v>
      </c>
      <c r="D129" s="4">
        <v>0</v>
      </c>
      <c r="E129" s="4">
        <v>0</v>
      </c>
      <c r="F129" s="4">
        <v>0</v>
      </c>
      <c r="G129" s="4">
        <v>393.7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500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500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3000</v>
      </c>
      <c r="BK129" s="4">
        <f t="shared" si="6"/>
        <v>4393.7</v>
      </c>
    </row>
    <row r="130" spans="2:63" x14ac:dyDescent="0.35">
      <c r="B130" t="s">
        <v>198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14000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14000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14000</v>
      </c>
      <c r="BG130" s="4">
        <v>0</v>
      </c>
      <c r="BH130" s="4">
        <v>0</v>
      </c>
      <c r="BI130" s="4">
        <v>0</v>
      </c>
      <c r="BJ130" s="4">
        <v>84000</v>
      </c>
      <c r="BK130" s="4">
        <f t="shared" si="6"/>
        <v>126000</v>
      </c>
    </row>
    <row r="131" spans="2:63" x14ac:dyDescent="0.35">
      <c r="B131" t="s">
        <v>199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11000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11000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11000</v>
      </c>
      <c r="BG131" s="4">
        <v>0</v>
      </c>
      <c r="BH131" s="4">
        <v>0</v>
      </c>
      <c r="BI131" s="4">
        <v>0</v>
      </c>
      <c r="BJ131" s="4">
        <v>66000</v>
      </c>
      <c r="BK131" s="4">
        <f t="shared" si="6"/>
        <v>99000</v>
      </c>
    </row>
    <row r="132" spans="2:63" x14ac:dyDescent="0.35">
      <c r="B132" t="s">
        <v>200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9500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9500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9500</v>
      </c>
      <c r="BG132" s="4">
        <v>0</v>
      </c>
      <c r="BH132" s="4">
        <v>0</v>
      </c>
      <c r="BI132" s="4">
        <v>0</v>
      </c>
      <c r="BJ132" s="4">
        <v>57000</v>
      </c>
      <c r="BK132" s="4">
        <f t="shared" si="6"/>
        <v>85500</v>
      </c>
    </row>
    <row r="133" spans="2:63" x14ac:dyDescent="0.35">
      <c r="B133" t="s">
        <v>201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f t="shared" si="6"/>
        <v>0</v>
      </c>
    </row>
    <row r="134" spans="2:63" x14ac:dyDescent="0.35">
      <c r="B134" t="s">
        <v>202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3490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3490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f t="shared" si="6"/>
        <v>6980</v>
      </c>
    </row>
    <row r="135" spans="2:63" x14ac:dyDescent="0.35">
      <c r="B135" t="s">
        <v>203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10400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f t="shared" si="6"/>
        <v>10400</v>
      </c>
    </row>
    <row r="136" spans="2:63" x14ac:dyDescent="0.35">
      <c r="B136" t="s">
        <v>204</v>
      </c>
      <c r="C136" s="4">
        <v>0</v>
      </c>
      <c r="D136" s="4">
        <v>0</v>
      </c>
      <c r="E136" s="4">
        <v>0</v>
      </c>
      <c r="F136" s="13">
        <v>10183.780000000001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10851.13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10851.13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f t="shared" si="6"/>
        <v>31886.04</v>
      </c>
    </row>
    <row r="137" spans="2:63" x14ac:dyDescent="0.35">
      <c r="B137" t="s">
        <v>205</v>
      </c>
      <c r="C137" s="13">
        <v>221591.18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122000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f t="shared" si="6"/>
        <v>343591.18</v>
      </c>
    </row>
    <row r="138" spans="2:63" x14ac:dyDescent="0.35">
      <c r="B138" t="s">
        <v>206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6800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6800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20400</v>
      </c>
      <c r="BK138" s="4">
        <f t="shared" si="6"/>
        <v>34000</v>
      </c>
    </row>
    <row r="139" spans="2:63" x14ac:dyDescent="0.35">
      <c r="B139" t="s">
        <v>207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14000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14000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14000</v>
      </c>
      <c r="BG139" s="4">
        <v>0</v>
      </c>
      <c r="BH139" s="4">
        <v>0</v>
      </c>
      <c r="BI139" s="4">
        <v>0</v>
      </c>
      <c r="BJ139" s="4">
        <v>84000</v>
      </c>
      <c r="BK139" s="4">
        <f t="shared" si="6"/>
        <v>126000</v>
      </c>
    </row>
    <row r="140" spans="2:63" x14ac:dyDescent="0.35">
      <c r="B140" t="s">
        <v>208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3000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3000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f t="shared" si="6"/>
        <v>6000</v>
      </c>
    </row>
    <row r="141" spans="2:63" x14ac:dyDescent="0.35">
      <c r="B141" t="s">
        <v>209</v>
      </c>
      <c r="C141" s="4">
        <v>0</v>
      </c>
      <c r="D141" s="4">
        <v>0</v>
      </c>
      <c r="E141" s="4">
        <v>0</v>
      </c>
      <c r="F141" s="4">
        <v>0</v>
      </c>
      <c r="G141" s="4">
        <v>1395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f t="shared" si="6"/>
        <v>1395</v>
      </c>
    </row>
    <row r="142" spans="2:63" x14ac:dyDescent="0.35">
      <c r="B142" t="s">
        <v>210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4000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4000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f t="shared" si="6"/>
        <v>8000</v>
      </c>
    </row>
    <row r="143" spans="2:63" x14ac:dyDescent="0.35">
      <c r="B143" t="s">
        <v>211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7300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f t="shared" si="6"/>
        <v>7300</v>
      </c>
    </row>
    <row r="144" spans="2:63" x14ac:dyDescent="0.35">
      <c r="B144" t="s">
        <v>212</v>
      </c>
      <c r="C144" s="4">
        <v>0</v>
      </c>
      <c r="D144" s="4">
        <v>0</v>
      </c>
      <c r="E144" s="4">
        <v>0</v>
      </c>
      <c r="F144" s="13">
        <v>1000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f t="shared" si="6"/>
        <v>1000</v>
      </c>
    </row>
    <row r="145" spans="2:63" x14ac:dyDescent="0.35">
      <c r="B145" t="s">
        <v>213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101180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f t="shared" si="6"/>
        <v>101180</v>
      </c>
    </row>
    <row r="146" spans="2:63" x14ac:dyDescent="0.35">
      <c r="B146" t="s">
        <v>214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7000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7000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7000</v>
      </c>
      <c r="BF146" s="4">
        <v>0</v>
      </c>
      <c r="BG146" s="4">
        <v>0</v>
      </c>
      <c r="BH146" s="4">
        <v>0</v>
      </c>
      <c r="BI146" s="4">
        <v>0</v>
      </c>
      <c r="BJ146" s="4">
        <v>14000</v>
      </c>
      <c r="BK146" s="4">
        <f t="shared" si="6"/>
        <v>35000</v>
      </c>
    </row>
    <row r="147" spans="2:63" x14ac:dyDescent="0.35">
      <c r="B147" t="s">
        <v>215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8224.86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f t="shared" si="6"/>
        <v>8224.86</v>
      </c>
    </row>
    <row r="148" spans="2:63" x14ac:dyDescent="0.35">
      <c r="B148" t="s">
        <v>216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f t="shared" si="6"/>
        <v>0</v>
      </c>
    </row>
    <row r="149" spans="2:63" x14ac:dyDescent="0.35">
      <c r="B149" s="6" t="s">
        <v>217</v>
      </c>
      <c r="C149" s="5">
        <f t="shared" ref="C149:AH149" si="7">SUM(C22:C148)</f>
        <v>247608.18</v>
      </c>
      <c r="D149" s="5">
        <f t="shared" si="7"/>
        <v>39006.879999999997</v>
      </c>
      <c r="E149" s="5">
        <f t="shared" si="7"/>
        <v>0</v>
      </c>
      <c r="F149" s="5">
        <f t="shared" si="7"/>
        <v>213313.4</v>
      </c>
      <c r="G149" s="5">
        <f t="shared" si="7"/>
        <v>109277.65999999999</v>
      </c>
      <c r="H149" s="5">
        <f t="shared" si="7"/>
        <v>2970.33</v>
      </c>
      <c r="I149" s="5">
        <f t="shared" si="7"/>
        <v>0</v>
      </c>
      <c r="J149" s="5">
        <f t="shared" si="7"/>
        <v>0</v>
      </c>
      <c r="K149" s="5">
        <f t="shared" si="7"/>
        <v>108680</v>
      </c>
      <c r="L149" s="5">
        <f t="shared" si="7"/>
        <v>229840.44</v>
      </c>
      <c r="M149" s="5">
        <f t="shared" si="7"/>
        <v>0</v>
      </c>
      <c r="N149" s="5">
        <f t="shared" si="7"/>
        <v>0</v>
      </c>
      <c r="O149" s="5">
        <f t="shared" si="7"/>
        <v>694255</v>
      </c>
      <c r="P149" s="5">
        <f t="shared" si="7"/>
        <v>6461.26</v>
      </c>
      <c r="Q149" s="5">
        <f t="shared" si="7"/>
        <v>102865.79</v>
      </c>
      <c r="R149" s="5">
        <f t="shared" si="7"/>
        <v>383189.94</v>
      </c>
      <c r="S149" s="5">
        <f t="shared" si="7"/>
        <v>0</v>
      </c>
      <c r="T149" s="5">
        <f t="shared" si="7"/>
        <v>45155.32</v>
      </c>
      <c r="U149" s="5">
        <f t="shared" si="7"/>
        <v>499.34999999999997</v>
      </c>
      <c r="V149" s="5">
        <f t="shared" si="7"/>
        <v>133859.24</v>
      </c>
      <c r="W149" s="5">
        <f t="shared" si="7"/>
        <v>0</v>
      </c>
      <c r="X149" s="5">
        <f t="shared" si="7"/>
        <v>10851.13</v>
      </c>
      <c r="Y149" s="5">
        <f t="shared" si="7"/>
        <v>0</v>
      </c>
      <c r="Z149" s="5">
        <f t="shared" si="7"/>
        <v>2057.92</v>
      </c>
      <c r="AA149" s="5">
        <f t="shared" si="7"/>
        <v>0</v>
      </c>
      <c r="AB149" s="5">
        <f t="shared" si="7"/>
        <v>0</v>
      </c>
      <c r="AC149" s="5">
        <f t="shared" si="7"/>
        <v>47995.209999999992</v>
      </c>
      <c r="AD149" s="5">
        <f t="shared" si="7"/>
        <v>2970.33</v>
      </c>
      <c r="AE149" s="5">
        <f t="shared" si="7"/>
        <v>0</v>
      </c>
      <c r="AF149" s="5">
        <f t="shared" si="7"/>
        <v>32898.619999999995</v>
      </c>
      <c r="AG149" s="5">
        <f t="shared" si="7"/>
        <v>0</v>
      </c>
      <c r="AH149" s="5">
        <f t="shared" si="7"/>
        <v>23565</v>
      </c>
      <c r="AI149" s="5">
        <f t="shared" ref="AI149:BN149" si="8">SUM(AI22:AI148)</f>
        <v>0</v>
      </c>
      <c r="AJ149" s="5">
        <f t="shared" si="8"/>
        <v>0</v>
      </c>
      <c r="AK149" s="5">
        <f t="shared" si="8"/>
        <v>703382.93</v>
      </c>
      <c r="AL149" s="5">
        <f t="shared" si="8"/>
        <v>101171.28</v>
      </c>
      <c r="AM149" s="5">
        <f t="shared" si="8"/>
        <v>0</v>
      </c>
      <c r="AN149" s="5">
        <f t="shared" si="8"/>
        <v>1694.5100000000002</v>
      </c>
      <c r="AO149" s="5">
        <f t="shared" si="8"/>
        <v>153603.30000000002</v>
      </c>
      <c r="AP149" s="5">
        <f t="shared" si="8"/>
        <v>1198562.08</v>
      </c>
      <c r="AQ149" s="5">
        <f t="shared" si="8"/>
        <v>1336032</v>
      </c>
      <c r="AR149" s="5">
        <f t="shared" si="8"/>
        <v>123074.02</v>
      </c>
      <c r="AS149" s="5">
        <f t="shared" si="8"/>
        <v>8082.64</v>
      </c>
      <c r="AT149" s="5">
        <f t="shared" si="8"/>
        <v>0</v>
      </c>
      <c r="AU149" s="5">
        <f t="shared" si="8"/>
        <v>12909.05</v>
      </c>
      <c r="AV149" s="5">
        <f t="shared" si="8"/>
        <v>0</v>
      </c>
      <c r="AW149" s="5">
        <f t="shared" si="8"/>
        <v>0</v>
      </c>
      <c r="AX149" s="5">
        <f t="shared" si="8"/>
        <v>0</v>
      </c>
      <c r="AY149" s="5">
        <f t="shared" si="8"/>
        <v>0</v>
      </c>
      <c r="AZ149" s="5">
        <f t="shared" si="8"/>
        <v>50965.539999999994</v>
      </c>
      <c r="BA149" s="5">
        <f t="shared" si="8"/>
        <v>0</v>
      </c>
      <c r="BB149" s="5">
        <f t="shared" si="8"/>
        <v>7500</v>
      </c>
      <c r="BC149" s="5">
        <f t="shared" si="8"/>
        <v>25398.62</v>
      </c>
      <c r="BD149" s="5">
        <f t="shared" si="8"/>
        <v>0</v>
      </c>
      <c r="BE149" s="5">
        <f t="shared" si="8"/>
        <v>10565</v>
      </c>
      <c r="BF149" s="5">
        <f t="shared" si="8"/>
        <v>691297.57</v>
      </c>
      <c r="BG149" s="5">
        <f t="shared" si="8"/>
        <v>5085.3599999999997</v>
      </c>
      <c r="BH149" s="5">
        <f t="shared" si="8"/>
        <v>101171.28</v>
      </c>
      <c r="BI149" s="5">
        <f t="shared" si="8"/>
        <v>0</v>
      </c>
      <c r="BJ149" s="5">
        <f t="shared" si="8"/>
        <v>6948038.6800000025</v>
      </c>
      <c r="BK149" s="4">
        <f t="shared" si="6"/>
        <v>13915854.860000003</v>
      </c>
    </row>
    <row r="151" spans="2:63" ht="16" x14ac:dyDescent="0.4">
      <c r="B151" s="3" t="s">
        <v>218</v>
      </c>
    </row>
    <row r="152" spans="2:63" s="24" customFormat="1" x14ac:dyDescent="0.35">
      <c r="B152" s="24" t="s">
        <v>310</v>
      </c>
      <c r="C152" s="14">
        <v>0</v>
      </c>
      <c r="D152" s="14">
        <v>0</v>
      </c>
      <c r="E152" s="14">
        <v>0</v>
      </c>
      <c r="F152" s="14">
        <v>0</v>
      </c>
      <c r="G152" s="14">
        <f>100000*6.8</f>
        <v>680000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0</v>
      </c>
      <c r="AU152" s="14">
        <v>0</v>
      </c>
      <c r="AV152" s="14">
        <v>0</v>
      </c>
      <c r="AW152" s="14">
        <v>0</v>
      </c>
      <c r="AX152" s="14">
        <v>0</v>
      </c>
      <c r="AY152" s="14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f t="shared" ref="BK152:BK216" si="9">SUM(C152:BJ152)</f>
        <v>680000</v>
      </c>
    </row>
    <row r="153" spans="2:63" s="24" customFormat="1" x14ac:dyDescent="0.35">
      <c r="B153" s="24" t="s">
        <v>124</v>
      </c>
      <c r="C153" s="14">
        <v>0</v>
      </c>
      <c r="D153" s="14">
        <v>0</v>
      </c>
      <c r="E153" s="14">
        <v>0</v>
      </c>
      <c r="F153" s="25">
        <f>8000+5500+3000</f>
        <v>16500</v>
      </c>
      <c r="G153" s="14">
        <v>0</v>
      </c>
      <c r="H153" s="14">
        <v>0</v>
      </c>
      <c r="I153" s="14">
        <v>430000</v>
      </c>
      <c r="J153" s="14">
        <v>0</v>
      </c>
      <c r="K153" s="14">
        <f>M15*75%</f>
        <v>867297.63000000012</v>
      </c>
      <c r="L153" s="14">
        <v>2200000</v>
      </c>
      <c r="M153" s="14">
        <v>0</v>
      </c>
      <c r="N153" s="14">
        <v>0</v>
      </c>
      <c r="O153" s="14">
        <v>100000</v>
      </c>
      <c r="P153" s="14">
        <v>0</v>
      </c>
      <c r="Q153" s="14">
        <v>0</v>
      </c>
      <c r="R153" s="14">
        <v>1800000</v>
      </c>
      <c r="S153" s="14">
        <v>0</v>
      </c>
      <c r="T153" s="14">
        <v>8000</v>
      </c>
      <c r="U153" s="14">
        <v>10000000</v>
      </c>
      <c r="V153" s="14">
        <v>162186.75</v>
      </c>
      <c r="W153" s="14">
        <v>0</v>
      </c>
      <c r="X153" s="14">
        <v>0</v>
      </c>
      <c r="Y153" s="14">
        <v>0</v>
      </c>
      <c r="Z153" s="14">
        <v>0</v>
      </c>
      <c r="AA153" s="14">
        <v>30000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56000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0</v>
      </c>
      <c r="AV153" s="14">
        <v>0</v>
      </c>
      <c r="AW153" s="14">
        <v>0</v>
      </c>
      <c r="AX153" s="14">
        <v>0</v>
      </c>
      <c r="AY153" s="14">
        <v>0</v>
      </c>
      <c r="AZ153" s="14">
        <v>0</v>
      </c>
      <c r="BA153" s="14">
        <v>0</v>
      </c>
      <c r="BB153" s="14">
        <v>0</v>
      </c>
      <c r="BC153" s="14">
        <v>0</v>
      </c>
      <c r="BD153" s="14">
        <v>0</v>
      </c>
      <c r="BE153" s="14">
        <v>0</v>
      </c>
      <c r="BF153" s="14">
        <v>0</v>
      </c>
      <c r="BG153" s="14">
        <v>0</v>
      </c>
      <c r="BH153" s="14">
        <v>0</v>
      </c>
      <c r="BI153" s="14">
        <v>0</v>
      </c>
      <c r="BJ153" s="14">
        <v>0</v>
      </c>
      <c r="BK153" s="14">
        <f>SUM(C153:BJ153)</f>
        <v>15669984.379999999</v>
      </c>
    </row>
    <row r="154" spans="2:63" x14ac:dyDescent="0.35">
      <c r="B154" t="s">
        <v>90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5000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f t="shared" si="9"/>
        <v>5000</v>
      </c>
    </row>
    <row r="155" spans="2:63" x14ac:dyDescent="0.35">
      <c r="B155" t="s">
        <v>219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3292.68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f t="shared" si="9"/>
        <v>3292.68</v>
      </c>
    </row>
    <row r="156" spans="2:63" x14ac:dyDescent="0.35">
      <c r="B156" t="s">
        <v>220</v>
      </c>
      <c r="C156" s="4">
        <v>0</v>
      </c>
      <c r="D156" s="4">
        <v>0</v>
      </c>
      <c r="E156" s="4">
        <v>0</v>
      </c>
      <c r="F156" s="13">
        <v>57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f t="shared" si="9"/>
        <v>57</v>
      </c>
    </row>
    <row r="157" spans="2:63" x14ac:dyDescent="0.35">
      <c r="B157" t="s">
        <v>221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3000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6600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f t="shared" si="9"/>
        <v>9600</v>
      </c>
    </row>
    <row r="158" spans="2:63" x14ac:dyDescent="0.35">
      <c r="B158" t="s">
        <v>222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304500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478499.3</v>
      </c>
      <c r="BF158" s="4">
        <v>0</v>
      </c>
      <c r="BG158" s="4">
        <v>0</v>
      </c>
      <c r="BH158" s="4">
        <v>0</v>
      </c>
      <c r="BI158" s="4">
        <v>0</v>
      </c>
      <c r="BJ158" s="4">
        <v>592600</v>
      </c>
      <c r="BK158" s="4">
        <f t="shared" si="9"/>
        <v>1375599.3</v>
      </c>
    </row>
    <row r="159" spans="2:63" x14ac:dyDescent="0.35">
      <c r="B159" t="s">
        <v>108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890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f t="shared" si="9"/>
        <v>890</v>
      </c>
    </row>
    <row r="160" spans="2:63" x14ac:dyDescent="0.35">
      <c r="B160" t="s">
        <v>223</v>
      </c>
      <c r="C160" s="4">
        <v>0</v>
      </c>
      <c r="D160" s="13">
        <v>480.69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f t="shared" si="9"/>
        <v>480.69</v>
      </c>
    </row>
    <row r="161" spans="2:63" x14ac:dyDescent="0.35">
      <c r="B161" t="s">
        <v>114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f t="shared" si="9"/>
        <v>0</v>
      </c>
    </row>
    <row r="162" spans="2:63" x14ac:dyDescent="0.35">
      <c r="B162" t="s">
        <v>224</v>
      </c>
      <c r="C162" s="4">
        <v>0</v>
      </c>
      <c r="D162" s="4">
        <v>0</v>
      </c>
      <c r="E162" s="4">
        <v>0</v>
      </c>
      <c r="F162" s="13">
        <v>27500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f t="shared" si="9"/>
        <v>27500</v>
      </c>
    </row>
    <row r="163" spans="2:63" x14ac:dyDescent="0.35">
      <c r="B163" t="s">
        <v>225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5400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8910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f t="shared" si="9"/>
        <v>14310</v>
      </c>
    </row>
    <row r="164" spans="2:63" x14ac:dyDescent="0.35">
      <c r="B164" t="s">
        <v>226</v>
      </c>
      <c r="C164" s="4">
        <v>0</v>
      </c>
      <c r="D164" s="4">
        <v>0</v>
      </c>
      <c r="E164" s="4">
        <v>0</v>
      </c>
      <c r="F164" s="13">
        <v>1316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17653.599999999999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f t="shared" si="9"/>
        <v>18969.599999999999</v>
      </c>
    </row>
    <row r="165" spans="2:63" x14ac:dyDescent="0.35">
      <c r="B165" t="s">
        <v>132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f t="shared" si="9"/>
        <v>0</v>
      </c>
    </row>
    <row r="166" spans="2:63" x14ac:dyDescent="0.35">
      <c r="B166" t="s">
        <v>227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4850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f t="shared" si="9"/>
        <v>4850</v>
      </c>
    </row>
    <row r="167" spans="2:63" x14ac:dyDescent="0.35">
      <c r="B167" t="s">
        <v>228</v>
      </c>
      <c r="C167" s="4">
        <v>0</v>
      </c>
      <c r="D167" s="4">
        <v>0</v>
      </c>
      <c r="E167" s="4">
        <v>0</v>
      </c>
      <c r="F167" s="4">
        <v>0</v>
      </c>
      <c r="G167" s="4">
        <v>5500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f t="shared" si="9"/>
        <v>5500</v>
      </c>
    </row>
    <row r="168" spans="2:63" x14ac:dyDescent="0.35">
      <c r="B168" t="s">
        <v>229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21823.1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f t="shared" si="9"/>
        <v>21823.1</v>
      </c>
    </row>
    <row r="169" spans="2:63" x14ac:dyDescent="0.35">
      <c r="B169" t="s">
        <v>230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10000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f t="shared" si="9"/>
        <v>10000</v>
      </c>
    </row>
    <row r="170" spans="2:63" x14ac:dyDescent="0.35">
      <c r="B170" t="s">
        <v>152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f t="shared" si="9"/>
        <v>0</v>
      </c>
    </row>
    <row r="171" spans="2:63" x14ac:dyDescent="0.35">
      <c r="B171" t="s">
        <v>231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f t="shared" si="9"/>
        <v>0</v>
      </c>
    </row>
    <row r="172" spans="2:63" x14ac:dyDescent="0.35">
      <c r="B172" t="s">
        <v>157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294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19671.900000000001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2388.3000000000002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f t="shared" si="9"/>
        <v>22354.2</v>
      </c>
    </row>
    <row r="173" spans="2:63" x14ac:dyDescent="0.35">
      <c r="B173" t="s">
        <v>232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200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f t="shared" si="9"/>
        <v>200</v>
      </c>
    </row>
    <row r="174" spans="2:63" x14ac:dyDescent="0.35">
      <c r="B174" t="s">
        <v>233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2782.5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f t="shared" si="9"/>
        <v>2782.5</v>
      </c>
    </row>
    <row r="175" spans="2:63" x14ac:dyDescent="0.35">
      <c r="B175" t="s">
        <v>161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10000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f t="shared" si="9"/>
        <v>10000</v>
      </c>
    </row>
    <row r="176" spans="2:63" x14ac:dyDescent="0.35">
      <c r="B176" t="s">
        <v>234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600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f t="shared" si="9"/>
        <v>600</v>
      </c>
    </row>
    <row r="177" spans="2:63" x14ac:dyDescent="0.35">
      <c r="B177" t="s">
        <v>235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1428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174000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950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f t="shared" si="9"/>
        <v>176378</v>
      </c>
    </row>
    <row r="178" spans="2:63" x14ac:dyDescent="0.35">
      <c r="B178" t="s">
        <v>236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3000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6600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f t="shared" si="9"/>
        <v>9600</v>
      </c>
    </row>
    <row r="179" spans="2:63" x14ac:dyDescent="0.35">
      <c r="B179" t="s">
        <v>237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3000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6600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f t="shared" si="9"/>
        <v>9600</v>
      </c>
    </row>
    <row r="180" spans="2:63" x14ac:dyDescent="0.35">
      <c r="B180" t="s">
        <v>238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18500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44245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f t="shared" si="9"/>
        <v>62745</v>
      </c>
    </row>
    <row r="181" spans="2:63" x14ac:dyDescent="0.35">
      <c r="B181" t="s">
        <v>239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3000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6600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f t="shared" si="9"/>
        <v>9600</v>
      </c>
    </row>
    <row r="182" spans="2:63" x14ac:dyDescent="0.35">
      <c r="B182" t="s">
        <v>240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7000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f t="shared" si="9"/>
        <v>7000</v>
      </c>
    </row>
    <row r="183" spans="2:63" x14ac:dyDescent="0.35">
      <c r="B183" t="s">
        <v>241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125450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f t="shared" si="9"/>
        <v>125450</v>
      </c>
    </row>
    <row r="184" spans="2:63" x14ac:dyDescent="0.35">
      <c r="B184" t="s">
        <v>242</v>
      </c>
      <c r="C184" s="4">
        <v>0</v>
      </c>
      <c r="D184" s="13">
        <v>526.11</v>
      </c>
      <c r="E184" s="13">
        <f>1001.11+1076.71+2710.51</f>
        <v>4788.33</v>
      </c>
      <c r="F184" s="13">
        <v>1512.4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f t="shared" si="9"/>
        <v>6826.84</v>
      </c>
    </row>
    <row r="185" spans="2:63" x14ac:dyDescent="0.35">
      <c r="B185" t="s">
        <v>243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2475.09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f t="shared" si="9"/>
        <v>2475.09</v>
      </c>
    </row>
    <row r="186" spans="2:63" x14ac:dyDescent="0.35">
      <c r="B186" t="s">
        <v>244</v>
      </c>
      <c r="C186" s="4">
        <v>0</v>
      </c>
      <c r="D186" s="4">
        <v>0</v>
      </c>
      <c r="E186" s="4">
        <v>0</v>
      </c>
      <c r="F186" s="13">
        <v>500000</v>
      </c>
      <c r="G186" s="4">
        <v>0</v>
      </c>
      <c r="H186" s="4">
        <v>0</v>
      </c>
      <c r="I186" s="4">
        <v>0</v>
      </c>
      <c r="J186" s="4">
        <v>0</v>
      </c>
      <c r="K186" s="4">
        <v>500000</v>
      </c>
      <c r="L186" s="4">
        <v>9515.7900000000009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41960.85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f t="shared" si="9"/>
        <v>1051476.6400000001</v>
      </c>
    </row>
    <row r="187" spans="2:63" x14ac:dyDescent="0.35">
      <c r="B187" t="s">
        <v>245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12000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f t="shared" si="9"/>
        <v>12000</v>
      </c>
    </row>
    <row r="188" spans="2:63" x14ac:dyDescent="0.35">
      <c r="B188" t="s">
        <v>246</v>
      </c>
      <c r="C188" s="13">
        <v>210.06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f t="shared" si="9"/>
        <v>210.06</v>
      </c>
    </row>
    <row r="189" spans="2:63" x14ac:dyDescent="0.35">
      <c r="B189" t="s">
        <v>247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238.01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f t="shared" si="9"/>
        <v>238.01</v>
      </c>
    </row>
    <row r="190" spans="2:63" x14ac:dyDescent="0.35">
      <c r="B190" t="s">
        <v>248</v>
      </c>
      <c r="C190" s="4">
        <v>0</v>
      </c>
      <c r="D190" s="4">
        <v>0</v>
      </c>
      <c r="E190" s="4">
        <v>0</v>
      </c>
      <c r="F190" s="13">
        <v>3500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11000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f t="shared" si="9"/>
        <v>14500</v>
      </c>
    </row>
    <row r="191" spans="2:63" x14ac:dyDescent="0.35">
      <c r="B191" t="s">
        <v>249</v>
      </c>
      <c r="C191" s="4">
        <v>0</v>
      </c>
      <c r="D191" s="4">
        <v>0</v>
      </c>
      <c r="E191" s="4">
        <v>0</v>
      </c>
      <c r="F191" s="13">
        <v>4480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f t="shared" si="9"/>
        <v>4480</v>
      </c>
    </row>
    <row r="192" spans="2:63" x14ac:dyDescent="0.35">
      <c r="B192" t="s">
        <v>250</v>
      </c>
      <c r="C192" s="4">
        <v>0</v>
      </c>
      <c r="D192" s="13">
        <v>672.77</v>
      </c>
      <c r="E192" s="4">
        <v>0</v>
      </c>
      <c r="F192" s="4">
        <v>0</v>
      </c>
      <c r="G192" s="4">
        <v>0</v>
      </c>
      <c r="H192" s="4">
        <v>0</v>
      </c>
      <c r="I192" s="4">
        <v>499.69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f t="shared" si="9"/>
        <v>1172.46</v>
      </c>
    </row>
    <row r="193" spans="2:63" x14ac:dyDescent="0.35">
      <c r="B193" t="s">
        <v>251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5500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5500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f t="shared" si="9"/>
        <v>11000</v>
      </c>
    </row>
    <row r="194" spans="2:63" x14ac:dyDescent="0.35">
      <c r="B194" t="s">
        <v>252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3000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6600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f t="shared" si="9"/>
        <v>9600</v>
      </c>
    </row>
    <row r="195" spans="2:63" x14ac:dyDescent="0.35">
      <c r="B195" t="s">
        <v>253</v>
      </c>
      <c r="C195" s="4">
        <v>0</v>
      </c>
      <c r="D195" s="4">
        <v>0</v>
      </c>
      <c r="E195" s="4">
        <v>0</v>
      </c>
      <c r="F195" s="13">
        <v>15500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f t="shared" si="9"/>
        <v>15500</v>
      </c>
    </row>
    <row r="196" spans="2:63" x14ac:dyDescent="0.35">
      <c r="B196" t="s">
        <v>254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7200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11700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f t="shared" si="9"/>
        <v>18900</v>
      </c>
    </row>
    <row r="197" spans="2:63" x14ac:dyDescent="0.35">
      <c r="B197" t="s">
        <v>255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6000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f t="shared" si="9"/>
        <v>6000</v>
      </c>
    </row>
    <row r="198" spans="2:63" x14ac:dyDescent="0.35">
      <c r="B198" t="s">
        <v>256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3000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6600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f t="shared" si="9"/>
        <v>9600</v>
      </c>
    </row>
    <row r="199" spans="2:63" x14ac:dyDescent="0.35">
      <c r="B199" t="s">
        <v>257</v>
      </c>
      <c r="C199" s="4">
        <v>0</v>
      </c>
      <c r="D199" s="4">
        <v>0</v>
      </c>
      <c r="E199" s="4">
        <v>0</v>
      </c>
      <c r="F199" s="13">
        <v>16000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35400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24000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27000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f t="shared" si="9"/>
        <v>102400</v>
      </c>
    </row>
    <row r="200" spans="2:63" x14ac:dyDescent="0.35">
      <c r="B200" t="s">
        <v>258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33480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f t="shared" si="9"/>
        <v>33480</v>
      </c>
    </row>
    <row r="201" spans="2:63" x14ac:dyDescent="0.35">
      <c r="B201" t="s">
        <v>259</v>
      </c>
      <c r="C201" s="4">
        <v>0</v>
      </c>
      <c r="D201" s="4">
        <v>0</v>
      </c>
      <c r="E201" s="4">
        <v>0</v>
      </c>
      <c r="F201" s="13">
        <v>9350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7100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f t="shared" si="9"/>
        <v>16450</v>
      </c>
    </row>
    <row r="202" spans="2:63" x14ac:dyDescent="0.35">
      <c r="B202" t="s">
        <v>260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52672.6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52672.6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f t="shared" si="9"/>
        <v>105345.2</v>
      </c>
    </row>
    <row r="203" spans="2:63" x14ac:dyDescent="0.35">
      <c r="B203" t="s">
        <v>261</v>
      </c>
      <c r="C203" s="4">
        <v>0</v>
      </c>
      <c r="D203" s="4">
        <v>0</v>
      </c>
      <c r="E203" s="4">
        <v>0</v>
      </c>
      <c r="F203" s="13">
        <v>12951.5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f t="shared" si="9"/>
        <v>12951.5</v>
      </c>
    </row>
    <row r="204" spans="2:63" x14ac:dyDescent="0.35">
      <c r="B204" t="s">
        <v>262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2250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f t="shared" si="9"/>
        <v>2250</v>
      </c>
    </row>
    <row r="205" spans="2:63" x14ac:dyDescent="0.35">
      <c r="B205" t="s">
        <v>263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3000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6600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f t="shared" si="9"/>
        <v>9600</v>
      </c>
    </row>
    <row r="206" spans="2:63" x14ac:dyDescent="0.35">
      <c r="B206" t="s">
        <v>264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13200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f t="shared" si="9"/>
        <v>13200</v>
      </c>
    </row>
    <row r="207" spans="2:63" x14ac:dyDescent="0.35">
      <c r="B207" t="s">
        <v>265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9000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f t="shared" si="9"/>
        <v>9000</v>
      </c>
    </row>
    <row r="208" spans="2:63" x14ac:dyDescent="0.35">
      <c r="B208" t="s">
        <v>266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10168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f t="shared" si="9"/>
        <v>10168</v>
      </c>
    </row>
    <row r="209" spans="2:63" x14ac:dyDescent="0.35">
      <c r="B209" t="s">
        <v>267</v>
      </c>
      <c r="C209" s="4">
        <v>0</v>
      </c>
      <c r="D209" s="4">
        <v>0</v>
      </c>
      <c r="E209" s="4">
        <v>0</v>
      </c>
      <c r="F209" s="13">
        <v>47300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f t="shared" si="9"/>
        <v>47300</v>
      </c>
    </row>
    <row r="210" spans="2:63" x14ac:dyDescent="0.35">
      <c r="B210" t="s">
        <v>268</v>
      </c>
      <c r="C210" s="4">
        <v>0</v>
      </c>
      <c r="D210" s="4">
        <v>0</v>
      </c>
      <c r="E210" s="4">
        <v>0</v>
      </c>
      <c r="F210" s="13">
        <v>1812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f t="shared" si="9"/>
        <v>1812</v>
      </c>
    </row>
    <row r="211" spans="2:63" x14ac:dyDescent="0.35">
      <c r="B211" t="s">
        <v>269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14000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f t="shared" si="9"/>
        <v>14000</v>
      </c>
    </row>
    <row r="212" spans="2:63" x14ac:dyDescent="0.35">
      <c r="B212" t="s">
        <v>270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163847.5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88447.5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101347.5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f t="shared" si="9"/>
        <v>353642.5</v>
      </c>
    </row>
    <row r="213" spans="2:63" x14ac:dyDescent="0.35">
      <c r="B213" t="s">
        <v>271</v>
      </c>
      <c r="C213" s="4">
        <v>0</v>
      </c>
      <c r="D213" s="4">
        <v>0</v>
      </c>
      <c r="E213" s="4">
        <v>0</v>
      </c>
      <c r="F213" s="13">
        <v>82481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65270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f t="shared" si="9"/>
        <v>147751</v>
      </c>
    </row>
    <row r="214" spans="2:63" x14ac:dyDescent="0.35">
      <c r="B214" t="s">
        <v>272</v>
      </c>
      <c r="C214" s="4">
        <v>0</v>
      </c>
      <c r="D214" s="4">
        <v>0</v>
      </c>
      <c r="E214" s="4">
        <v>0</v>
      </c>
      <c r="F214" s="13">
        <v>19140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f t="shared" si="9"/>
        <v>19140</v>
      </c>
    </row>
    <row r="215" spans="2:63" x14ac:dyDescent="0.35">
      <c r="B215" t="s">
        <v>273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30000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f t="shared" si="9"/>
        <v>30000</v>
      </c>
    </row>
    <row r="216" spans="2:63" x14ac:dyDescent="0.35">
      <c r="B216" t="s">
        <v>274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64995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f t="shared" si="9"/>
        <v>64995</v>
      </c>
    </row>
    <row r="217" spans="2:63" x14ac:dyDescent="0.35">
      <c r="B217" t="s">
        <v>275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24301.81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f t="shared" ref="BK217:BK246" si="10">SUM(C217:BJ217)</f>
        <v>24301.81</v>
      </c>
    </row>
    <row r="218" spans="2:63" x14ac:dyDescent="0.35">
      <c r="B218" t="s">
        <v>276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18584.54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f t="shared" si="10"/>
        <v>18584.54</v>
      </c>
    </row>
    <row r="219" spans="2:63" x14ac:dyDescent="0.35">
      <c r="B219" t="s">
        <v>277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98.87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f t="shared" si="10"/>
        <v>98.87</v>
      </c>
    </row>
    <row r="220" spans="2:63" x14ac:dyDescent="0.35">
      <c r="B220" t="s">
        <v>278</v>
      </c>
      <c r="C220" s="4">
        <v>0</v>
      </c>
      <c r="D220" s="4">
        <v>0</v>
      </c>
      <c r="E220" s="4">
        <v>0</v>
      </c>
      <c r="F220" s="13">
        <v>59200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59200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f t="shared" si="10"/>
        <v>118400</v>
      </c>
    </row>
    <row r="221" spans="2:63" x14ac:dyDescent="0.35">
      <c r="B221" t="s">
        <v>279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14000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f t="shared" si="10"/>
        <v>14000</v>
      </c>
    </row>
    <row r="222" spans="2:63" x14ac:dyDescent="0.35">
      <c r="B222" t="s">
        <v>280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3960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f t="shared" si="10"/>
        <v>3960</v>
      </c>
    </row>
    <row r="223" spans="2:63" x14ac:dyDescent="0.35">
      <c r="B223" t="s">
        <v>281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10000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f t="shared" si="10"/>
        <v>10000</v>
      </c>
    </row>
    <row r="224" spans="2:63" x14ac:dyDescent="0.35">
      <c r="B224" t="s">
        <v>282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27000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f t="shared" si="10"/>
        <v>27000</v>
      </c>
    </row>
    <row r="225" spans="2:63" x14ac:dyDescent="0.35">
      <c r="B225" t="s">
        <v>283</v>
      </c>
      <c r="C225" s="4">
        <v>0</v>
      </c>
      <c r="D225" s="4">
        <v>0</v>
      </c>
      <c r="E225" s="4">
        <v>0</v>
      </c>
      <c r="F225" s="13">
        <v>217187.37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f t="shared" si="10"/>
        <v>217187.37</v>
      </c>
    </row>
    <row r="226" spans="2:63" x14ac:dyDescent="0.35">
      <c r="B226" t="s">
        <v>284</v>
      </c>
      <c r="C226" s="4">
        <v>0</v>
      </c>
      <c r="D226" s="4">
        <v>0</v>
      </c>
      <c r="E226" s="4">
        <v>0</v>
      </c>
      <c r="F226" s="13">
        <v>12000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f t="shared" si="10"/>
        <v>12000</v>
      </c>
    </row>
    <row r="227" spans="2:63" x14ac:dyDescent="0.35">
      <c r="B227" t="s">
        <v>285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213.01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f t="shared" si="10"/>
        <v>213.01</v>
      </c>
    </row>
    <row r="228" spans="2:63" x14ac:dyDescent="0.35">
      <c r="B228" t="s">
        <v>286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100250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f t="shared" si="10"/>
        <v>100250</v>
      </c>
    </row>
    <row r="229" spans="2:63" x14ac:dyDescent="0.35">
      <c r="B229" t="s">
        <v>287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370000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25900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f t="shared" si="10"/>
        <v>395900</v>
      </c>
    </row>
    <row r="230" spans="2:63" x14ac:dyDescent="0.35">
      <c r="B230" t="s">
        <v>288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59505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f t="shared" si="10"/>
        <v>59505</v>
      </c>
    </row>
    <row r="231" spans="2:63" x14ac:dyDescent="0.35">
      <c r="B231" t="s">
        <v>289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634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f t="shared" si="10"/>
        <v>634</v>
      </c>
    </row>
    <row r="232" spans="2:63" x14ac:dyDescent="0.35">
      <c r="B232" t="s">
        <v>290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97541.5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f t="shared" si="10"/>
        <v>97541.5</v>
      </c>
    </row>
    <row r="233" spans="2:63" x14ac:dyDescent="0.35">
      <c r="B233" t="s">
        <v>291</v>
      </c>
      <c r="C233" s="4">
        <v>0</v>
      </c>
      <c r="D233" s="4">
        <v>0</v>
      </c>
      <c r="E233" s="4">
        <v>0</v>
      </c>
      <c r="F233" s="13">
        <v>1800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f t="shared" si="10"/>
        <v>1800</v>
      </c>
    </row>
    <row r="234" spans="2:63" x14ac:dyDescent="0.35">
      <c r="B234" t="s">
        <v>292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8400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f t="shared" si="10"/>
        <v>8400</v>
      </c>
    </row>
    <row r="235" spans="2:63" x14ac:dyDescent="0.35">
      <c r="B235" t="s">
        <v>293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550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f t="shared" si="10"/>
        <v>550</v>
      </c>
    </row>
    <row r="236" spans="2:63" x14ac:dyDescent="0.35">
      <c r="B236" t="s">
        <v>294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14000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14000</v>
      </c>
      <c r="BG236" s="4">
        <v>0</v>
      </c>
      <c r="BH236" s="4">
        <v>0</v>
      </c>
      <c r="BI236" s="4">
        <v>0</v>
      </c>
      <c r="BJ236" s="4">
        <v>0</v>
      </c>
      <c r="BK236" s="4">
        <f t="shared" si="10"/>
        <v>28000</v>
      </c>
    </row>
    <row r="237" spans="2:63" x14ac:dyDescent="0.35">
      <c r="B237" t="s">
        <v>295</v>
      </c>
      <c r="C237" s="4">
        <v>0</v>
      </c>
      <c r="D237" s="4">
        <v>0</v>
      </c>
      <c r="E237" s="4">
        <v>0</v>
      </c>
      <c r="F237" s="13">
        <v>2200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f t="shared" si="10"/>
        <v>2200</v>
      </c>
    </row>
    <row r="238" spans="2:63" x14ac:dyDescent="0.35">
      <c r="B238" t="s">
        <v>296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14000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14000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f t="shared" si="10"/>
        <v>28000</v>
      </c>
    </row>
    <row r="239" spans="2:63" x14ac:dyDescent="0.35">
      <c r="B239" t="s">
        <v>297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f t="shared" si="10"/>
        <v>0</v>
      </c>
    </row>
    <row r="240" spans="2:63" x14ac:dyDescent="0.35">
      <c r="B240" t="s">
        <v>298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109156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f t="shared" si="10"/>
        <v>109156</v>
      </c>
    </row>
    <row r="241" spans="2:63" x14ac:dyDescent="0.35">
      <c r="B241" t="s">
        <v>299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3150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f t="shared" si="10"/>
        <v>3150</v>
      </c>
    </row>
    <row r="242" spans="2:63" x14ac:dyDescent="0.35">
      <c r="B242" t="s">
        <v>300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34114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f t="shared" si="10"/>
        <v>34114</v>
      </c>
    </row>
    <row r="243" spans="2:63" x14ac:dyDescent="0.35">
      <c r="B243" t="s">
        <v>301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f t="shared" si="10"/>
        <v>0</v>
      </c>
    </row>
    <row r="244" spans="2:63" x14ac:dyDescent="0.35">
      <c r="B244" t="s">
        <v>302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9352.0300000000007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f t="shared" si="10"/>
        <v>9352.0300000000007</v>
      </c>
    </row>
    <row r="245" spans="2:63" x14ac:dyDescent="0.35">
      <c r="B245" t="s">
        <v>213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1011800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f t="shared" si="10"/>
        <v>1011800</v>
      </c>
    </row>
    <row r="246" spans="2:63" x14ac:dyDescent="0.35">
      <c r="B246" t="s">
        <v>303</v>
      </c>
      <c r="C246" s="4">
        <v>0</v>
      </c>
      <c r="D246" s="4">
        <v>0</v>
      </c>
      <c r="E246" s="4">
        <v>0</v>
      </c>
      <c r="F246" s="13">
        <v>12000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35000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f t="shared" si="10"/>
        <v>47000</v>
      </c>
    </row>
    <row r="247" spans="2:63" x14ac:dyDescent="0.35">
      <c r="B247" s="6" t="s">
        <v>304</v>
      </c>
      <c r="C247" s="5">
        <f>SUM(C152:C246)</f>
        <v>210.06</v>
      </c>
      <c r="D247" s="5">
        <f t="shared" ref="D247:BK247" si="11">SUM(D152:D246)</f>
        <v>1679.57</v>
      </c>
      <c r="E247" s="5">
        <f t="shared" si="11"/>
        <v>4788.33</v>
      </c>
      <c r="F247" s="5">
        <f t="shared" si="11"/>
        <v>1063787.27</v>
      </c>
      <c r="G247" s="5">
        <f t="shared" si="11"/>
        <v>685500</v>
      </c>
      <c r="H247" s="5">
        <f t="shared" si="11"/>
        <v>0</v>
      </c>
      <c r="I247" s="5">
        <f t="shared" si="11"/>
        <v>431049.58</v>
      </c>
      <c r="J247" s="5">
        <f t="shared" si="11"/>
        <v>200</v>
      </c>
      <c r="K247" s="5">
        <f t="shared" si="11"/>
        <v>2379097.63</v>
      </c>
      <c r="L247" s="5">
        <f t="shared" si="11"/>
        <v>2721353.43</v>
      </c>
      <c r="M247" s="5">
        <f t="shared" si="11"/>
        <v>0</v>
      </c>
      <c r="N247" s="5">
        <f t="shared" si="11"/>
        <v>0</v>
      </c>
      <c r="O247" s="5">
        <f t="shared" si="11"/>
        <v>130000</v>
      </c>
      <c r="P247" s="5">
        <f t="shared" si="11"/>
        <v>0</v>
      </c>
      <c r="Q247" s="5">
        <f t="shared" si="11"/>
        <v>0</v>
      </c>
      <c r="R247" s="5">
        <f t="shared" si="11"/>
        <v>1811827.12</v>
      </c>
      <c r="S247" s="5">
        <f t="shared" si="11"/>
        <v>0</v>
      </c>
      <c r="T247" s="5">
        <f t="shared" si="11"/>
        <v>1304526.1400000001</v>
      </c>
      <c r="U247" s="5">
        <f t="shared" si="11"/>
        <v>10000000</v>
      </c>
      <c r="V247" s="5">
        <f t="shared" si="11"/>
        <v>162186.75</v>
      </c>
      <c r="W247" s="5">
        <f t="shared" si="11"/>
        <v>0</v>
      </c>
      <c r="X247" s="5">
        <f t="shared" si="11"/>
        <v>0</v>
      </c>
      <c r="Y247" s="5">
        <f t="shared" si="11"/>
        <v>0</v>
      </c>
      <c r="Z247" s="5">
        <f t="shared" si="11"/>
        <v>0</v>
      </c>
      <c r="AA247" s="5">
        <f t="shared" si="11"/>
        <v>249001.9</v>
      </c>
      <c r="AB247" s="5">
        <f t="shared" si="11"/>
        <v>0</v>
      </c>
      <c r="AC247" s="5">
        <f t="shared" si="11"/>
        <v>0</v>
      </c>
      <c r="AD247" s="5">
        <f t="shared" si="11"/>
        <v>0</v>
      </c>
      <c r="AE247" s="5">
        <f t="shared" si="11"/>
        <v>0</v>
      </c>
      <c r="AF247" s="5">
        <f t="shared" si="11"/>
        <v>0</v>
      </c>
      <c r="AG247" s="5">
        <f t="shared" si="11"/>
        <v>0</v>
      </c>
      <c r="AH247" s="5">
        <f t="shared" si="11"/>
        <v>126630</v>
      </c>
      <c r="AI247" s="5">
        <f t="shared" si="11"/>
        <v>0</v>
      </c>
      <c r="AJ247" s="5">
        <f t="shared" si="11"/>
        <v>0</v>
      </c>
      <c r="AK247" s="5">
        <f t="shared" si="11"/>
        <v>70000</v>
      </c>
      <c r="AL247" s="5">
        <f t="shared" si="11"/>
        <v>0</v>
      </c>
      <c r="AM247" s="5">
        <f t="shared" si="11"/>
        <v>0</v>
      </c>
      <c r="AN247" s="5">
        <f t="shared" si="11"/>
        <v>0</v>
      </c>
      <c r="AO247" s="5">
        <f t="shared" si="11"/>
        <v>0</v>
      </c>
      <c r="AP247" s="5">
        <f t="shared" si="11"/>
        <v>461444.3</v>
      </c>
      <c r="AQ247" s="5">
        <f t="shared" si="11"/>
        <v>0</v>
      </c>
      <c r="AR247" s="5">
        <f t="shared" si="11"/>
        <v>0</v>
      </c>
      <c r="AS247" s="5">
        <f t="shared" si="11"/>
        <v>0</v>
      </c>
      <c r="AT247" s="5">
        <f t="shared" si="11"/>
        <v>0</v>
      </c>
      <c r="AU247" s="5">
        <f t="shared" si="11"/>
        <v>0</v>
      </c>
      <c r="AV247" s="5">
        <f t="shared" si="11"/>
        <v>0</v>
      </c>
      <c r="AW247" s="5">
        <f t="shared" si="11"/>
        <v>136347.5</v>
      </c>
      <c r="AX247" s="5">
        <f t="shared" si="11"/>
        <v>0</v>
      </c>
      <c r="AY247" s="5">
        <f t="shared" si="11"/>
        <v>0</v>
      </c>
      <c r="AZ247" s="5">
        <f t="shared" si="11"/>
        <v>0</v>
      </c>
      <c r="BA247" s="5">
        <f t="shared" si="11"/>
        <v>0</v>
      </c>
      <c r="BB247" s="5">
        <f t="shared" si="11"/>
        <v>0</v>
      </c>
      <c r="BC247" s="5">
        <f t="shared" si="11"/>
        <v>0</v>
      </c>
      <c r="BD247" s="5">
        <f t="shared" si="11"/>
        <v>0</v>
      </c>
      <c r="BE247" s="5">
        <f t="shared" si="11"/>
        <v>478499.3</v>
      </c>
      <c r="BF247" s="5">
        <f t="shared" si="11"/>
        <v>14000</v>
      </c>
      <c r="BG247" s="5">
        <f t="shared" si="11"/>
        <v>0</v>
      </c>
      <c r="BH247" s="5">
        <f t="shared" si="11"/>
        <v>0</v>
      </c>
      <c r="BI247" s="5">
        <f t="shared" si="11"/>
        <v>0</v>
      </c>
      <c r="BJ247" s="5">
        <f t="shared" si="11"/>
        <v>592600</v>
      </c>
      <c r="BK247" s="5">
        <f t="shared" si="11"/>
        <v>22824728.880000006</v>
      </c>
    </row>
    <row r="248" spans="2:63" x14ac:dyDescent="0.35">
      <c r="B248" s="9" t="s">
        <v>305</v>
      </c>
      <c r="C248" s="10">
        <f>C149+C247</f>
        <v>247818.23999999999</v>
      </c>
      <c r="D248" s="10">
        <f t="shared" ref="D248:BK248" si="12">D149+D247</f>
        <v>40686.449999999997</v>
      </c>
      <c r="E248" s="10">
        <f t="shared" si="12"/>
        <v>4788.33</v>
      </c>
      <c r="F248" s="10">
        <f t="shared" si="12"/>
        <v>1277100.67</v>
      </c>
      <c r="G248" s="10">
        <f t="shared" si="12"/>
        <v>794777.66</v>
      </c>
      <c r="H248" s="10">
        <f t="shared" si="12"/>
        <v>2970.33</v>
      </c>
      <c r="I248" s="10">
        <f t="shared" si="12"/>
        <v>431049.58</v>
      </c>
      <c r="J248" s="10">
        <f t="shared" si="12"/>
        <v>200</v>
      </c>
      <c r="K248" s="10">
        <f t="shared" si="12"/>
        <v>2487777.63</v>
      </c>
      <c r="L248" s="10">
        <f t="shared" si="12"/>
        <v>2951193.87</v>
      </c>
      <c r="M248" s="10">
        <f t="shared" si="12"/>
        <v>0</v>
      </c>
      <c r="N248" s="10">
        <f t="shared" si="12"/>
        <v>0</v>
      </c>
      <c r="O248" s="10">
        <f t="shared" si="12"/>
        <v>824255</v>
      </c>
      <c r="P248" s="10">
        <f t="shared" si="12"/>
        <v>6461.26</v>
      </c>
      <c r="Q248" s="10">
        <f t="shared" si="12"/>
        <v>102865.79</v>
      </c>
      <c r="R248" s="10">
        <f t="shared" si="12"/>
        <v>2195017.06</v>
      </c>
      <c r="S248" s="10">
        <f t="shared" si="12"/>
        <v>0</v>
      </c>
      <c r="T248" s="10">
        <f t="shared" si="12"/>
        <v>1349681.4600000002</v>
      </c>
      <c r="U248" s="10">
        <f t="shared" si="12"/>
        <v>10000499.35</v>
      </c>
      <c r="V248" s="10">
        <f t="shared" si="12"/>
        <v>296045.99</v>
      </c>
      <c r="W248" s="10">
        <f t="shared" si="12"/>
        <v>0</v>
      </c>
      <c r="X248" s="10">
        <f t="shared" si="12"/>
        <v>10851.13</v>
      </c>
      <c r="Y248" s="10">
        <f t="shared" si="12"/>
        <v>0</v>
      </c>
      <c r="Z248" s="10">
        <f t="shared" si="12"/>
        <v>2057.92</v>
      </c>
      <c r="AA248" s="10">
        <f t="shared" si="12"/>
        <v>249001.9</v>
      </c>
      <c r="AB248" s="10">
        <f t="shared" si="12"/>
        <v>0</v>
      </c>
      <c r="AC248" s="10">
        <f t="shared" si="12"/>
        <v>47995.209999999992</v>
      </c>
      <c r="AD248" s="10">
        <f t="shared" si="12"/>
        <v>2970.33</v>
      </c>
      <c r="AE248" s="10">
        <f t="shared" si="12"/>
        <v>0</v>
      </c>
      <c r="AF248" s="10">
        <f t="shared" si="12"/>
        <v>32898.619999999995</v>
      </c>
      <c r="AG248" s="10">
        <f t="shared" si="12"/>
        <v>0</v>
      </c>
      <c r="AH248" s="10">
        <f t="shared" si="12"/>
        <v>150195</v>
      </c>
      <c r="AI248" s="10">
        <f t="shared" si="12"/>
        <v>0</v>
      </c>
      <c r="AJ248" s="10">
        <f t="shared" si="12"/>
        <v>0</v>
      </c>
      <c r="AK248" s="10">
        <f t="shared" si="12"/>
        <v>773382.93</v>
      </c>
      <c r="AL248" s="10">
        <f t="shared" si="12"/>
        <v>101171.28</v>
      </c>
      <c r="AM248" s="10">
        <f t="shared" si="12"/>
        <v>0</v>
      </c>
      <c r="AN248" s="10">
        <f t="shared" si="12"/>
        <v>1694.5100000000002</v>
      </c>
      <c r="AO248" s="10">
        <f t="shared" si="12"/>
        <v>153603.30000000002</v>
      </c>
      <c r="AP248" s="10">
        <f t="shared" si="12"/>
        <v>1660006.3800000001</v>
      </c>
      <c r="AQ248" s="10">
        <f t="shared" si="12"/>
        <v>1336032</v>
      </c>
      <c r="AR248" s="10">
        <f t="shared" si="12"/>
        <v>123074.02</v>
      </c>
      <c r="AS248" s="10">
        <f t="shared" si="12"/>
        <v>8082.64</v>
      </c>
      <c r="AT248" s="10">
        <f t="shared" si="12"/>
        <v>0</v>
      </c>
      <c r="AU248" s="10">
        <f t="shared" si="12"/>
        <v>12909.05</v>
      </c>
      <c r="AV248" s="10">
        <f t="shared" si="12"/>
        <v>0</v>
      </c>
      <c r="AW248" s="10">
        <f t="shared" si="12"/>
        <v>136347.5</v>
      </c>
      <c r="AX248" s="10">
        <f t="shared" si="12"/>
        <v>0</v>
      </c>
      <c r="AY248" s="10">
        <f t="shared" si="12"/>
        <v>0</v>
      </c>
      <c r="AZ248" s="10">
        <f t="shared" si="12"/>
        <v>50965.539999999994</v>
      </c>
      <c r="BA248" s="10">
        <f t="shared" si="12"/>
        <v>0</v>
      </c>
      <c r="BB248" s="10">
        <f t="shared" si="12"/>
        <v>7500</v>
      </c>
      <c r="BC248" s="10">
        <f t="shared" si="12"/>
        <v>25398.62</v>
      </c>
      <c r="BD248" s="10">
        <f t="shared" si="12"/>
        <v>0</v>
      </c>
      <c r="BE248" s="10">
        <f t="shared" si="12"/>
        <v>489064.3</v>
      </c>
      <c r="BF248" s="10">
        <f t="shared" si="12"/>
        <v>705297.57</v>
      </c>
      <c r="BG248" s="10">
        <f t="shared" si="12"/>
        <v>5085.3599999999997</v>
      </c>
      <c r="BH248" s="10">
        <f t="shared" si="12"/>
        <v>101171.28</v>
      </c>
      <c r="BI248" s="10">
        <f t="shared" si="12"/>
        <v>0</v>
      </c>
      <c r="BJ248" s="10">
        <f t="shared" si="12"/>
        <v>7540638.6800000025</v>
      </c>
      <c r="BK248" s="10">
        <f t="shared" si="12"/>
        <v>36740583.74000001</v>
      </c>
    </row>
    <row r="250" spans="2:63" x14ac:dyDescent="0.35">
      <c r="B250" s="11" t="s">
        <v>306</v>
      </c>
      <c r="C250" s="4">
        <f t="shared" ref="C250:AH250" si="13">C17-C248</f>
        <v>-215818.23999999999</v>
      </c>
      <c r="D250" s="4">
        <f t="shared" si="13"/>
        <v>-40686.449999999997</v>
      </c>
      <c r="E250" s="4">
        <f t="shared" si="13"/>
        <v>4480827.62</v>
      </c>
      <c r="F250" s="4">
        <f t="shared" si="13"/>
        <v>-1277100.67</v>
      </c>
      <c r="G250" s="4">
        <f t="shared" si="13"/>
        <v>-513050.22000000003</v>
      </c>
      <c r="H250" s="4">
        <f t="shared" si="13"/>
        <v>-2970.33</v>
      </c>
      <c r="I250" s="4">
        <f t="shared" si="13"/>
        <v>-431049.58</v>
      </c>
      <c r="J250" s="4">
        <f t="shared" si="13"/>
        <v>-200</v>
      </c>
      <c r="K250" s="4">
        <f t="shared" si="13"/>
        <v>-421792.81999999983</v>
      </c>
      <c r="L250" s="4">
        <f t="shared" si="13"/>
        <v>-2185694.29</v>
      </c>
      <c r="M250" s="4">
        <f t="shared" si="13"/>
        <v>1156396.8400000001</v>
      </c>
      <c r="N250" s="4">
        <f t="shared" si="13"/>
        <v>0</v>
      </c>
      <c r="O250" s="4">
        <f t="shared" si="13"/>
        <v>-124255</v>
      </c>
      <c r="P250" s="4">
        <f t="shared" si="13"/>
        <v>1096407.74</v>
      </c>
      <c r="Q250" s="4">
        <f t="shared" si="13"/>
        <v>-5199.1699999999983</v>
      </c>
      <c r="R250" s="4">
        <f t="shared" si="13"/>
        <v>1467279.42</v>
      </c>
      <c r="S250" s="4">
        <f t="shared" si="13"/>
        <v>0</v>
      </c>
      <c r="T250" s="4">
        <f t="shared" si="13"/>
        <v>-1349681.4600000002</v>
      </c>
      <c r="U250" s="4">
        <f t="shared" si="13"/>
        <v>1017718.7400000002</v>
      </c>
      <c r="V250" s="4">
        <f t="shared" si="13"/>
        <v>-25452.580000000016</v>
      </c>
      <c r="W250" s="4">
        <f t="shared" si="13"/>
        <v>807217</v>
      </c>
      <c r="X250" s="4">
        <f t="shared" si="13"/>
        <v>16956.809999999998</v>
      </c>
      <c r="Y250" s="4">
        <f t="shared" si="13"/>
        <v>0</v>
      </c>
      <c r="Z250" s="4">
        <f t="shared" si="13"/>
        <v>-2057.92</v>
      </c>
      <c r="AA250" s="4">
        <f t="shared" si="13"/>
        <v>-206322.61</v>
      </c>
      <c r="AB250" s="4">
        <f t="shared" si="13"/>
        <v>0</v>
      </c>
      <c r="AC250" s="4">
        <f t="shared" si="13"/>
        <v>4306502.03</v>
      </c>
      <c r="AD250" s="4">
        <f t="shared" si="13"/>
        <v>-2970.33</v>
      </c>
      <c r="AE250" s="4">
        <f t="shared" si="13"/>
        <v>0</v>
      </c>
      <c r="AF250" s="4">
        <f t="shared" si="13"/>
        <v>2380071.34</v>
      </c>
      <c r="AG250" s="4">
        <f t="shared" si="13"/>
        <v>0</v>
      </c>
      <c r="AH250" s="4">
        <f t="shared" si="13"/>
        <v>-150195</v>
      </c>
      <c r="AI250" s="4">
        <f t="shared" ref="AI250:BI250" si="14">AI17-AI248</f>
        <v>0</v>
      </c>
      <c r="AJ250" s="4">
        <f t="shared" si="14"/>
        <v>0</v>
      </c>
      <c r="AK250" s="4">
        <f t="shared" si="14"/>
        <v>-773382.93</v>
      </c>
      <c r="AL250" s="4">
        <f t="shared" si="14"/>
        <v>-101171.28</v>
      </c>
      <c r="AM250" s="4">
        <f t="shared" si="14"/>
        <v>0</v>
      </c>
      <c r="AN250" s="4">
        <f t="shared" si="14"/>
        <v>-1694.5100000000002</v>
      </c>
      <c r="AO250" s="4">
        <f t="shared" si="14"/>
        <v>-153603.30000000002</v>
      </c>
      <c r="AP250" s="4">
        <f t="shared" si="14"/>
        <v>-467736.14000000013</v>
      </c>
      <c r="AQ250" s="4">
        <f t="shared" si="14"/>
        <v>-3490</v>
      </c>
      <c r="AR250" s="4">
        <f t="shared" si="14"/>
        <v>-123074.02</v>
      </c>
      <c r="AS250" s="4">
        <f t="shared" si="14"/>
        <v>-8082.64</v>
      </c>
      <c r="AT250" s="4">
        <f t="shared" si="14"/>
        <v>0</v>
      </c>
      <c r="AU250" s="4">
        <f t="shared" si="14"/>
        <v>-12909.05</v>
      </c>
      <c r="AV250" s="4">
        <f t="shared" si="14"/>
        <v>18473.21</v>
      </c>
      <c r="AW250" s="4">
        <f t="shared" si="14"/>
        <v>-136347.5</v>
      </c>
      <c r="AX250" s="4">
        <f t="shared" si="14"/>
        <v>6307.55</v>
      </c>
      <c r="AY250" s="4">
        <f t="shared" si="14"/>
        <v>0</v>
      </c>
      <c r="AZ250" s="4">
        <f t="shared" si="14"/>
        <v>-46225.159999999996</v>
      </c>
      <c r="BA250" s="4">
        <f t="shared" si="14"/>
        <v>0</v>
      </c>
      <c r="BB250" s="4">
        <f t="shared" si="14"/>
        <v>-7500</v>
      </c>
      <c r="BC250" s="4">
        <f t="shared" si="14"/>
        <v>974601.38</v>
      </c>
      <c r="BD250" s="4">
        <f t="shared" si="14"/>
        <v>0</v>
      </c>
      <c r="BE250" s="4">
        <f t="shared" si="14"/>
        <v>-391768.77</v>
      </c>
      <c r="BF250" s="4">
        <f t="shared" si="14"/>
        <v>-705297.57</v>
      </c>
      <c r="BG250" s="4">
        <f t="shared" si="14"/>
        <v>1708449.61</v>
      </c>
      <c r="BH250" s="4">
        <f t="shared" si="14"/>
        <v>-101171.28</v>
      </c>
      <c r="BI250" s="4">
        <f t="shared" si="14"/>
        <v>0</v>
      </c>
      <c r="BJ250" s="4"/>
      <c r="BK250" s="4"/>
    </row>
    <row r="251" spans="2:63" x14ac:dyDescent="0.35">
      <c r="B251" s="11"/>
    </row>
    <row r="252" spans="2:63" x14ac:dyDescent="0.35">
      <c r="B252" s="12" t="s">
        <v>311</v>
      </c>
      <c r="C252" s="16">
        <f>C262+C250</f>
        <v>-264820.12</v>
      </c>
      <c r="D252" s="23">
        <f>C252+D250</f>
        <v>-305506.57</v>
      </c>
      <c r="E252" s="23">
        <f>D252+E250</f>
        <v>4175321.0500000003</v>
      </c>
      <c r="F252" s="20">
        <f>E257+F250</f>
        <v>2898220.44</v>
      </c>
      <c r="G252" s="20">
        <f t="shared" ref="E252:BI252" si="15">F252+G250</f>
        <v>2385170.2199999997</v>
      </c>
      <c r="H252" s="20">
        <f t="shared" si="15"/>
        <v>2382199.8899999997</v>
      </c>
      <c r="I252" s="20">
        <f t="shared" si="15"/>
        <v>1951150.3099999996</v>
      </c>
      <c r="J252" s="20">
        <f t="shared" si="15"/>
        <v>1950950.3099999996</v>
      </c>
      <c r="K252" s="20">
        <f t="shared" si="15"/>
        <v>1529157.4899999998</v>
      </c>
      <c r="L252" s="20">
        <f t="shared" si="15"/>
        <v>-656536.80000000028</v>
      </c>
      <c r="M252" s="20">
        <f t="shared" si="15"/>
        <v>499860.0399999998</v>
      </c>
      <c r="N252" s="20">
        <f t="shared" si="15"/>
        <v>499860.0399999998</v>
      </c>
      <c r="O252" s="20">
        <f t="shared" si="15"/>
        <v>375605.0399999998</v>
      </c>
      <c r="P252" s="20">
        <f t="shared" si="15"/>
        <v>1472012.7799999998</v>
      </c>
      <c r="Q252" s="20">
        <f t="shared" si="15"/>
        <v>1466813.6099999999</v>
      </c>
      <c r="R252" s="20">
        <f t="shared" si="15"/>
        <v>2934093.03</v>
      </c>
      <c r="S252" s="20">
        <f t="shared" si="15"/>
        <v>2934093.03</v>
      </c>
      <c r="T252" s="20">
        <f t="shared" si="15"/>
        <v>1584411.5699999996</v>
      </c>
      <c r="U252" s="20">
        <f t="shared" si="15"/>
        <v>2602130.3099999996</v>
      </c>
      <c r="V252" s="20">
        <f t="shared" si="15"/>
        <v>2576677.7299999995</v>
      </c>
      <c r="W252" s="20">
        <f t="shared" si="15"/>
        <v>3383894.7299999995</v>
      </c>
      <c r="X252" s="20">
        <f t="shared" si="15"/>
        <v>3400851.5399999996</v>
      </c>
      <c r="Y252" s="20">
        <f t="shared" si="15"/>
        <v>3400851.5399999996</v>
      </c>
      <c r="Z252" s="20">
        <f t="shared" si="15"/>
        <v>3398793.6199999996</v>
      </c>
      <c r="AA252" s="20">
        <f t="shared" si="15"/>
        <v>3192471.01</v>
      </c>
      <c r="AB252" s="20">
        <f t="shared" si="15"/>
        <v>3192471.01</v>
      </c>
      <c r="AC252" s="20">
        <f t="shared" si="15"/>
        <v>7498973.04</v>
      </c>
      <c r="AD252" s="20">
        <f t="shared" si="15"/>
        <v>7496002.71</v>
      </c>
      <c r="AE252" s="20">
        <f t="shared" si="15"/>
        <v>7496002.71</v>
      </c>
      <c r="AF252" s="20">
        <f t="shared" si="15"/>
        <v>9876074.0500000007</v>
      </c>
      <c r="AG252" s="20">
        <f t="shared" si="15"/>
        <v>9876074.0500000007</v>
      </c>
      <c r="AH252" s="20">
        <f t="shared" si="15"/>
        <v>9725879.0500000007</v>
      </c>
      <c r="AI252" s="20">
        <f t="shared" si="15"/>
        <v>9725879.0500000007</v>
      </c>
      <c r="AJ252" s="20">
        <f t="shared" si="15"/>
        <v>9725879.0500000007</v>
      </c>
      <c r="AK252" s="20">
        <f t="shared" si="15"/>
        <v>8952496.120000001</v>
      </c>
      <c r="AL252" s="20">
        <f t="shared" si="15"/>
        <v>8851324.8400000017</v>
      </c>
      <c r="AM252" s="20">
        <f t="shared" si="15"/>
        <v>8851324.8400000017</v>
      </c>
      <c r="AN252" s="20">
        <f t="shared" si="15"/>
        <v>8849630.3300000019</v>
      </c>
      <c r="AO252" s="20">
        <f t="shared" si="15"/>
        <v>8696027.0300000012</v>
      </c>
      <c r="AP252" s="20">
        <f t="shared" si="15"/>
        <v>8228290.8900000006</v>
      </c>
      <c r="AQ252" s="20">
        <f t="shared" si="15"/>
        <v>8224800.8900000006</v>
      </c>
      <c r="AR252" s="20">
        <f t="shared" si="15"/>
        <v>8101726.870000001</v>
      </c>
      <c r="AS252" s="20">
        <f t="shared" si="15"/>
        <v>8093644.2300000014</v>
      </c>
      <c r="AT252" s="20">
        <f t="shared" si="15"/>
        <v>8093644.2300000014</v>
      </c>
      <c r="AU252" s="20">
        <f t="shared" si="15"/>
        <v>8080735.1800000016</v>
      </c>
      <c r="AV252" s="20">
        <f t="shared" si="15"/>
        <v>8099208.3900000015</v>
      </c>
      <c r="AW252" s="20">
        <f t="shared" si="15"/>
        <v>7962860.8900000015</v>
      </c>
      <c r="AX252" s="20">
        <f t="shared" si="15"/>
        <v>7969168.4400000013</v>
      </c>
      <c r="AY252" s="20">
        <f t="shared" si="15"/>
        <v>7969168.4400000013</v>
      </c>
      <c r="AZ252" s="20">
        <f t="shared" si="15"/>
        <v>7922943.2800000012</v>
      </c>
      <c r="BA252" s="20">
        <f t="shared" si="15"/>
        <v>7922943.2800000012</v>
      </c>
      <c r="BB252" s="20">
        <f t="shared" si="15"/>
        <v>7915443.2800000012</v>
      </c>
      <c r="BC252" s="20">
        <f t="shared" si="15"/>
        <v>8890044.660000002</v>
      </c>
      <c r="BD252" s="20">
        <f t="shared" si="15"/>
        <v>8890044.660000002</v>
      </c>
      <c r="BE252" s="20">
        <f t="shared" si="15"/>
        <v>8498275.8900000025</v>
      </c>
      <c r="BF252" s="20">
        <f t="shared" si="15"/>
        <v>7792978.3200000022</v>
      </c>
      <c r="BG252" s="20">
        <f t="shared" si="15"/>
        <v>9501427.9300000016</v>
      </c>
      <c r="BH252" s="20">
        <f t="shared" si="15"/>
        <v>9400256.6500000022</v>
      </c>
      <c r="BI252" s="20">
        <f t="shared" si="15"/>
        <v>9400256.6500000022</v>
      </c>
      <c r="BJ252" s="4"/>
    </row>
    <row r="254" spans="2:63" x14ac:dyDescent="0.35">
      <c r="B254" s="11" t="s">
        <v>312</v>
      </c>
      <c r="C254" s="14">
        <v>-310505.23</v>
      </c>
      <c r="D254" s="14">
        <v>-351194.46</v>
      </c>
      <c r="E254" s="4">
        <v>4129635.94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2:63" x14ac:dyDescent="0.35">
      <c r="B255" s="11" t="s">
        <v>313</v>
      </c>
      <c r="C255" s="4">
        <v>45685.17</v>
      </c>
      <c r="D255" s="4">
        <v>45685.17</v>
      </c>
      <c r="E255" s="4">
        <v>45685.17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2:63" x14ac:dyDescent="0.35">
      <c r="B256" s="11" t="s">
        <v>314</v>
      </c>
      <c r="C256" s="4">
        <v>0</v>
      </c>
      <c r="D256" s="4">
        <v>0</v>
      </c>
      <c r="E256" s="4">
        <v>0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2:42" x14ac:dyDescent="0.35">
      <c r="B257" s="12" t="s">
        <v>73</v>
      </c>
      <c r="C257" s="15">
        <f>SUM(C254:C256)</f>
        <v>-264820.06</v>
      </c>
      <c r="D257" s="19">
        <f t="shared" ref="D257:E257" si="16">SUM(D254:D256)</f>
        <v>-305509.29000000004</v>
      </c>
      <c r="E257" s="19">
        <f t="shared" si="16"/>
        <v>4175321.11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2:42" x14ac:dyDescent="0.35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2:42" x14ac:dyDescent="0.35">
      <c r="B259" s="11" t="s">
        <v>312</v>
      </c>
      <c r="C259" s="14">
        <v>-62686.99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2:42" x14ac:dyDescent="0.35">
      <c r="B260" s="11" t="s">
        <v>313</v>
      </c>
      <c r="C260" s="4">
        <v>13685.11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2:42" x14ac:dyDescent="0.35">
      <c r="B261" s="11" t="s">
        <v>314</v>
      </c>
      <c r="C261" s="4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2:42" x14ac:dyDescent="0.35">
      <c r="B262" s="12" t="s">
        <v>73</v>
      </c>
      <c r="C262" s="15">
        <f>SUM(C259:C261)</f>
        <v>-49001.88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2:42" x14ac:dyDescent="0.35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2:42" x14ac:dyDescent="0.35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2:42" x14ac:dyDescent="0.35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2:42" x14ac:dyDescent="0.35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2:42" x14ac:dyDescent="0.35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2:42" x14ac:dyDescent="0.35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2:42" x14ac:dyDescent="0.35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</sheetData>
  <pageMargins left="0.511811024" right="0.511811024" top="0.78740157499999996" bottom="0.78740157499999996" header="0.31496062000000002" footer="0.31496062000000002"/>
  <ignoredErrors>
    <ignoredError sqref="F252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Lampada</dc:creator>
  <cp:lastModifiedBy>Emerson Lampada</cp:lastModifiedBy>
  <dcterms:created xsi:type="dcterms:W3CDTF">2026-04-14T18:32:27Z</dcterms:created>
  <dcterms:modified xsi:type="dcterms:W3CDTF">2026-04-16T22:16:40Z</dcterms:modified>
</cp:coreProperties>
</file>